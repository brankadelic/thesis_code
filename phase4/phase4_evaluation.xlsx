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brankadelic/Desktop/"/>
    </mc:Choice>
  </mc:AlternateContent>
  <xr:revisionPtr revIDLastSave="0" documentId="13_ncr:1_{F42022C3-DC39-6340-A7B7-96194E2ECB56}" xr6:coauthVersionLast="47" xr6:coauthVersionMax="47" xr10:uidLastSave="{00000000-0000-0000-0000-000000000000}"/>
  <bookViews>
    <workbookView xWindow="2620" yWindow="760" windowWidth="27640" windowHeight="16940" activeTab="4" xr2:uid="{B8702ADD-02D8-794F-B353-C241A780935B}"/>
  </bookViews>
  <sheets>
    <sheet name="asthma_phase4_evaluation" sheetId="1" r:id="rId1"/>
    <sheet name="hypertension_phase4_evaluation" sheetId="2" r:id="rId2"/>
    <sheet name="dvt_phase4_evaluation" sheetId="3" r:id="rId3"/>
    <sheet name="curb_phase4_evaluation" sheetId="4" r:id="rId4"/>
    <sheet name="cross-model eval" sheetId="5" r:id="rId5"/>
  </sheets>
  <externalReferences>
    <externalReference r:id="rId6"/>
  </externalReferences>
  <definedNames>
    <definedName name="_xlchart.v1.0" hidden="1">'cross-model eval'!$A$21</definedName>
    <definedName name="_xlchart.v1.1" hidden="1">'cross-model eval'!$A$22</definedName>
    <definedName name="_xlchart.v1.2" hidden="1">'cross-model eval'!$A$23</definedName>
    <definedName name="_xlchart.v1.3" hidden="1">'cross-model eval'!$A$24</definedName>
    <definedName name="_xlchart.v1.4" hidden="1">'cross-model eval'!$B$20:$J$20</definedName>
    <definedName name="_xlchart.v1.5" hidden="1">'cross-model eval'!$B$21:$J$21</definedName>
    <definedName name="_xlchart.v1.6" hidden="1">'cross-model eval'!$B$22:$J$22</definedName>
    <definedName name="_xlchart.v1.7" hidden="1">'cross-model eval'!$B$23:$J$23</definedName>
    <definedName name="_xlchart.v1.8" hidden="1">'cross-model eval'!$B$24:$J$24</definedName>
    <definedName name="_xlchart.v2.10" hidden="1">'cross-model eval'!$A$22</definedName>
    <definedName name="_xlchart.v2.11" hidden="1">'cross-model eval'!$A$23</definedName>
    <definedName name="_xlchart.v2.12" hidden="1">'cross-model eval'!$A$24</definedName>
    <definedName name="_xlchart.v2.13" hidden="1">'cross-model eval'!$B$20:$J$20</definedName>
    <definedName name="_xlchart.v2.14" hidden="1">'cross-model eval'!$B$21:$J$21</definedName>
    <definedName name="_xlchart.v2.15" hidden="1">'cross-model eval'!$B$22:$J$22</definedName>
    <definedName name="_xlchart.v2.16" hidden="1">'cross-model eval'!$B$23:$J$23</definedName>
    <definedName name="_xlchart.v2.17" hidden="1">'cross-model eval'!$B$24:$J$24</definedName>
    <definedName name="_xlchart.v2.9" hidden="1">'cross-model eval'!$A$21</definedName>
  </definedNames>
  <calcPr calcId="18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4" i="5" l="1"/>
  <c r="D23" i="5"/>
  <c r="D22" i="5"/>
  <c r="D21" i="5"/>
  <c r="C24" i="5"/>
  <c r="C23" i="5"/>
  <c r="C22" i="5"/>
  <c r="C21" i="5"/>
  <c r="B24" i="5"/>
  <c r="B23" i="5"/>
  <c r="B22" i="5"/>
  <c r="B21" i="5"/>
  <c r="E24" i="5"/>
  <c r="E23" i="5"/>
  <c r="E22" i="5"/>
  <c r="E21" i="5"/>
  <c r="E681" i="4"/>
  <c r="E680" i="4"/>
  <c r="E679" i="4"/>
  <c r="E678" i="4"/>
  <c r="D681" i="4"/>
  <c r="D680" i="4"/>
  <c r="D679" i="4"/>
  <c r="D678" i="4"/>
  <c r="C681" i="4"/>
  <c r="C680" i="4"/>
  <c r="C679" i="4"/>
  <c r="C678" i="4"/>
  <c r="B681" i="4"/>
  <c r="B680" i="4"/>
  <c r="B679" i="4"/>
  <c r="B678" i="4"/>
  <c r="F681" i="4"/>
  <c r="F679" i="4"/>
  <c r="F352" i="4"/>
  <c r="F353" i="4"/>
  <c r="F354" i="4"/>
  <c r="F355" i="4"/>
  <c r="G355" i="4" s="1"/>
  <c r="H355" i="4" s="1"/>
  <c r="F356" i="4"/>
  <c r="F357" i="4"/>
  <c r="G357" i="4" s="1"/>
  <c r="H357" i="4" s="1"/>
  <c r="F358" i="4"/>
  <c r="F359" i="4"/>
  <c r="F360" i="4"/>
  <c r="F361" i="4"/>
  <c r="G361" i="4" s="1"/>
  <c r="H361" i="4" s="1"/>
  <c r="F362" i="4"/>
  <c r="F363" i="4"/>
  <c r="F364" i="4"/>
  <c r="F365" i="4"/>
  <c r="G365" i="4" s="1"/>
  <c r="H365" i="4" s="1"/>
  <c r="F366" i="4"/>
  <c r="F367" i="4"/>
  <c r="F368" i="4"/>
  <c r="F369" i="4"/>
  <c r="F370" i="4"/>
  <c r="F371" i="4"/>
  <c r="G371" i="4" s="1"/>
  <c r="H371" i="4" s="1"/>
  <c r="F372" i="4"/>
  <c r="F373" i="4"/>
  <c r="F374" i="4"/>
  <c r="F375" i="4"/>
  <c r="F376" i="4"/>
  <c r="F377" i="4"/>
  <c r="F378" i="4"/>
  <c r="F379" i="4"/>
  <c r="G379" i="4" s="1"/>
  <c r="F380" i="4"/>
  <c r="F381" i="4"/>
  <c r="F382" i="4"/>
  <c r="F383" i="4"/>
  <c r="F384" i="4"/>
  <c r="F385" i="4"/>
  <c r="F386" i="4"/>
  <c r="F387" i="4"/>
  <c r="F388" i="4"/>
  <c r="F389" i="4"/>
  <c r="G389" i="4" s="1"/>
  <c r="F390" i="4"/>
  <c r="F391" i="4"/>
  <c r="F392" i="4"/>
  <c r="F393" i="4"/>
  <c r="F394" i="4"/>
  <c r="F395" i="4"/>
  <c r="F396" i="4"/>
  <c r="F397" i="4"/>
  <c r="F398" i="4"/>
  <c r="F399" i="4"/>
  <c r="G399" i="4" s="1"/>
  <c r="F400" i="4"/>
  <c r="F401" i="4"/>
  <c r="F402" i="4"/>
  <c r="F403" i="4"/>
  <c r="F404" i="4"/>
  <c r="F405" i="4"/>
  <c r="F406" i="4"/>
  <c r="G406" i="4" s="1"/>
  <c r="H406" i="4" s="1"/>
  <c r="F407" i="4"/>
  <c r="F408" i="4"/>
  <c r="F409" i="4"/>
  <c r="F410" i="4"/>
  <c r="F411" i="4"/>
  <c r="F412" i="4"/>
  <c r="F413" i="4"/>
  <c r="F414" i="4"/>
  <c r="F415" i="4"/>
  <c r="G415" i="4" s="1"/>
  <c r="H415" i="4" s="1"/>
  <c r="F416" i="4"/>
  <c r="F417" i="4"/>
  <c r="F418" i="4"/>
  <c r="F419" i="4"/>
  <c r="F420" i="4"/>
  <c r="F421" i="4"/>
  <c r="G421" i="4" s="1"/>
  <c r="H421" i="4" s="1"/>
  <c r="F422" i="4"/>
  <c r="F423" i="4"/>
  <c r="F424" i="4"/>
  <c r="F425" i="4"/>
  <c r="G425" i="4" s="1"/>
  <c r="H425" i="4" s="1"/>
  <c r="F426" i="4"/>
  <c r="F427" i="4"/>
  <c r="F428" i="4"/>
  <c r="F429" i="4"/>
  <c r="F430" i="4"/>
  <c r="F431" i="4"/>
  <c r="G431" i="4" s="1"/>
  <c r="H431" i="4" s="1"/>
  <c r="F432" i="4"/>
  <c r="F433" i="4"/>
  <c r="F434" i="4"/>
  <c r="F435" i="4"/>
  <c r="F436" i="4"/>
  <c r="F437" i="4"/>
  <c r="G437" i="4" s="1"/>
  <c r="F438" i="4"/>
  <c r="F439" i="4"/>
  <c r="F440" i="4"/>
  <c r="F441" i="4"/>
  <c r="F442" i="4"/>
  <c r="F443" i="4"/>
  <c r="F444" i="4"/>
  <c r="F445" i="4"/>
  <c r="F446" i="4"/>
  <c r="F447" i="4"/>
  <c r="G447" i="4" s="1"/>
  <c r="F448" i="4"/>
  <c r="F449" i="4"/>
  <c r="F450" i="4"/>
  <c r="F451" i="4"/>
  <c r="F452" i="4"/>
  <c r="F453" i="4"/>
  <c r="F454" i="4"/>
  <c r="F455" i="4"/>
  <c r="F456" i="4"/>
  <c r="F457" i="4"/>
  <c r="G457" i="4" s="1"/>
  <c r="F458" i="4"/>
  <c r="F459" i="4"/>
  <c r="F460" i="4"/>
  <c r="F461" i="4"/>
  <c r="F462" i="4"/>
  <c r="F463" i="4"/>
  <c r="F464" i="4"/>
  <c r="F465" i="4"/>
  <c r="G465" i="4" s="1"/>
  <c r="H465" i="4" s="1"/>
  <c r="F466" i="4"/>
  <c r="F467" i="4"/>
  <c r="F468" i="4"/>
  <c r="F469" i="4"/>
  <c r="F470" i="4"/>
  <c r="F471" i="4"/>
  <c r="F472" i="4"/>
  <c r="F473" i="4"/>
  <c r="F474" i="4"/>
  <c r="F475" i="4"/>
  <c r="G475" i="4" s="1"/>
  <c r="H475" i="4" s="1"/>
  <c r="F476" i="4"/>
  <c r="F477" i="4"/>
  <c r="F478" i="4"/>
  <c r="F479" i="4"/>
  <c r="F480" i="4"/>
  <c r="F481" i="4"/>
  <c r="G481" i="4" s="1"/>
  <c r="H481" i="4" s="1"/>
  <c r="F482" i="4"/>
  <c r="F483" i="4"/>
  <c r="F484" i="4"/>
  <c r="F485" i="4"/>
  <c r="F486" i="4"/>
  <c r="F487" i="4"/>
  <c r="G487" i="4" s="1"/>
  <c r="F488" i="4"/>
  <c r="G488" i="4" s="1"/>
  <c r="F489" i="4"/>
  <c r="G489" i="4" s="1"/>
  <c r="F490" i="4"/>
  <c r="F491" i="4"/>
  <c r="F492" i="4"/>
  <c r="F493" i="4"/>
  <c r="F494" i="4"/>
  <c r="F495" i="4"/>
  <c r="F496" i="4"/>
  <c r="F497" i="4"/>
  <c r="G497" i="4" s="1"/>
  <c r="F498" i="4"/>
  <c r="G498" i="4" s="1"/>
  <c r="F499" i="4"/>
  <c r="G499" i="4" s="1"/>
  <c r="F500" i="4"/>
  <c r="F501" i="4"/>
  <c r="F502" i="4"/>
  <c r="F503" i="4"/>
  <c r="F504" i="4"/>
  <c r="F505" i="4"/>
  <c r="F506" i="4"/>
  <c r="F507" i="4"/>
  <c r="G507" i="4" s="1"/>
  <c r="F508" i="4"/>
  <c r="G508" i="4" s="1"/>
  <c r="F509" i="4"/>
  <c r="G509" i="4" s="1"/>
  <c r="F510" i="4"/>
  <c r="F511" i="4"/>
  <c r="F512" i="4"/>
  <c r="F513" i="4"/>
  <c r="F514" i="4"/>
  <c r="F515" i="4"/>
  <c r="G515" i="4" s="1"/>
  <c r="H515" i="4" s="1"/>
  <c r="F516" i="4"/>
  <c r="F517" i="4"/>
  <c r="F518" i="4"/>
  <c r="F519" i="4"/>
  <c r="F520" i="4"/>
  <c r="F521" i="4"/>
  <c r="G521" i="4" s="1"/>
  <c r="H521" i="4" s="1"/>
  <c r="F522" i="4"/>
  <c r="F523" i="4"/>
  <c r="F524" i="4"/>
  <c r="F525" i="4"/>
  <c r="F526" i="4"/>
  <c r="F527" i="4"/>
  <c r="G527" i="4" s="1"/>
  <c r="H527" i="4" s="1"/>
  <c r="F528" i="4"/>
  <c r="G528" i="4" s="1"/>
  <c r="H528" i="4" s="1"/>
  <c r="F529" i="4"/>
  <c r="G529" i="4" s="1"/>
  <c r="H529" i="4" s="1"/>
  <c r="F530" i="4"/>
  <c r="F531" i="4"/>
  <c r="F532" i="4"/>
  <c r="F533" i="4"/>
  <c r="F534" i="4"/>
  <c r="F535" i="4"/>
  <c r="G535" i="4" s="1"/>
  <c r="H535" i="4" s="1"/>
  <c r="F536" i="4"/>
  <c r="G536" i="4" s="1"/>
  <c r="H536" i="4" s="1"/>
  <c r="F537" i="4"/>
  <c r="F538" i="4"/>
  <c r="G538" i="4" s="1"/>
  <c r="H538" i="4" s="1"/>
  <c r="F539" i="4"/>
  <c r="F540" i="4"/>
  <c r="F541" i="4"/>
  <c r="F542" i="4"/>
  <c r="F543" i="4"/>
  <c r="F544" i="4"/>
  <c r="F545" i="4"/>
  <c r="F546" i="4"/>
  <c r="F547" i="4"/>
  <c r="G547" i="4" s="1"/>
  <c r="F548" i="4"/>
  <c r="F549" i="4"/>
  <c r="F550" i="4"/>
  <c r="F551" i="4"/>
  <c r="F552" i="4"/>
  <c r="F553" i="4"/>
  <c r="F554" i="4"/>
  <c r="F555" i="4"/>
  <c r="F556" i="4"/>
  <c r="F557" i="4"/>
  <c r="G557" i="4" s="1"/>
  <c r="F558" i="4"/>
  <c r="F559" i="4"/>
  <c r="F560" i="4"/>
  <c r="F561" i="4"/>
  <c r="F562" i="4"/>
  <c r="F563" i="4"/>
  <c r="F564" i="4"/>
  <c r="F565" i="4"/>
  <c r="F566" i="4"/>
  <c r="F567" i="4"/>
  <c r="G567" i="4" s="1"/>
  <c r="H567" i="4" s="1"/>
  <c r="F568" i="4"/>
  <c r="G568" i="4" s="1"/>
  <c r="H568" i="4" s="1"/>
  <c r="F569" i="4"/>
  <c r="F570" i="4"/>
  <c r="F571" i="4"/>
  <c r="F572" i="4"/>
  <c r="F573" i="4"/>
  <c r="F574" i="4"/>
  <c r="F575" i="4"/>
  <c r="G575" i="4" s="1"/>
  <c r="H575" i="4" s="1"/>
  <c r="F576" i="4"/>
  <c r="G576" i="4" s="1"/>
  <c r="H576" i="4" s="1"/>
  <c r="F577" i="4"/>
  <c r="G577" i="4" s="1"/>
  <c r="H577" i="4" s="1"/>
  <c r="F578" i="4"/>
  <c r="F579" i="4"/>
  <c r="F580" i="4"/>
  <c r="F581" i="4"/>
  <c r="F582" i="4"/>
  <c r="F583" i="4"/>
  <c r="F584" i="4"/>
  <c r="F585" i="4"/>
  <c r="G585" i="4" s="1"/>
  <c r="H585" i="4" s="1"/>
  <c r="F586" i="4"/>
  <c r="F587" i="4"/>
  <c r="F588" i="4"/>
  <c r="F589" i="4"/>
  <c r="F590" i="4"/>
  <c r="F591" i="4"/>
  <c r="G591" i="4" s="1"/>
  <c r="H591" i="4" s="1"/>
  <c r="F592" i="4"/>
  <c r="F593" i="4"/>
  <c r="F594" i="4"/>
  <c r="F595" i="4"/>
  <c r="F596" i="4"/>
  <c r="G596" i="4" s="1"/>
  <c r="F597" i="4"/>
  <c r="G597" i="4" s="1"/>
  <c r="F598" i="4"/>
  <c r="G598" i="4" s="1"/>
  <c r="F599" i="4"/>
  <c r="F600" i="4"/>
  <c r="F601" i="4"/>
  <c r="G601" i="4" s="1"/>
  <c r="F602" i="4"/>
  <c r="F603" i="4"/>
  <c r="F604" i="4"/>
  <c r="F605" i="4"/>
  <c r="F606" i="4"/>
  <c r="G606" i="4" s="1"/>
  <c r="F607" i="4"/>
  <c r="G607" i="4" s="1"/>
  <c r="F608" i="4"/>
  <c r="G608" i="4" s="1"/>
  <c r="F609" i="4"/>
  <c r="F610" i="4"/>
  <c r="F611" i="4"/>
  <c r="G611" i="4" s="1"/>
  <c r="F612" i="4"/>
  <c r="F613" i="4"/>
  <c r="F614" i="4"/>
  <c r="F615" i="4"/>
  <c r="F616" i="4"/>
  <c r="G616" i="4" s="1"/>
  <c r="F617" i="4"/>
  <c r="G617" i="4" s="1"/>
  <c r="F618" i="4"/>
  <c r="G618" i="4" s="1"/>
  <c r="F619" i="4"/>
  <c r="F620" i="4"/>
  <c r="F621" i="4"/>
  <c r="G621" i="4" s="1"/>
  <c r="H621" i="4" s="1"/>
  <c r="F622" i="4"/>
  <c r="F623" i="4"/>
  <c r="F624" i="4"/>
  <c r="F625" i="4"/>
  <c r="F626" i="4"/>
  <c r="F627" i="4"/>
  <c r="F628" i="4"/>
  <c r="G628" i="4" s="1"/>
  <c r="H628" i="4" s="1"/>
  <c r="F629" i="4"/>
  <c r="G629" i="4" s="1"/>
  <c r="H629" i="4" s="1"/>
  <c r="F630" i="4"/>
  <c r="G630" i="4" s="1"/>
  <c r="H630" i="4" s="1"/>
  <c r="F631" i="4"/>
  <c r="F632" i="4"/>
  <c r="F633" i="4"/>
  <c r="F634" i="4"/>
  <c r="F635" i="4"/>
  <c r="F636" i="4"/>
  <c r="G636" i="4" s="1"/>
  <c r="H636" i="4" s="1"/>
  <c r="F637" i="4"/>
  <c r="G637" i="4" s="1"/>
  <c r="H637" i="4" s="1"/>
  <c r="F638" i="4"/>
  <c r="G638" i="4" s="1"/>
  <c r="H638" i="4" s="1"/>
  <c r="F639" i="4"/>
  <c r="G639" i="4" s="1"/>
  <c r="H639" i="4" s="1"/>
  <c r="F640" i="4"/>
  <c r="F641" i="4"/>
  <c r="F642" i="4"/>
  <c r="F643" i="4"/>
  <c r="F644" i="4"/>
  <c r="F645" i="4"/>
  <c r="G645" i="4" s="1"/>
  <c r="H645" i="4" s="1"/>
  <c r="F646" i="4"/>
  <c r="G646" i="4" s="1"/>
  <c r="H646" i="4" s="1"/>
  <c r="F647" i="4"/>
  <c r="G647" i="4" s="1"/>
  <c r="H647" i="4" s="1"/>
  <c r="F648" i="4"/>
  <c r="F649" i="4"/>
  <c r="F650" i="4"/>
  <c r="F651" i="4"/>
  <c r="G651" i="4" s="1"/>
  <c r="F652" i="4"/>
  <c r="F653" i="4"/>
  <c r="F654" i="4"/>
  <c r="F655" i="4"/>
  <c r="F656" i="4"/>
  <c r="G656" i="4" s="1"/>
  <c r="F657" i="4"/>
  <c r="G657" i="4" s="1"/>
  <c r="F658" i="4"/>
  <c r="F659" i="4"/>
  <c r="F660" i="4"/>
  <c r="F661" i="4"/>
  <c r="G661" i="4" s="1"/>
  <c r="F662" i="4"/>
  <c r="F663" i="4"/>
  <c r="F664" i="4"/>
  <c r="F665" i="4"/>
  <c r="F666" i="4"/>
  <c r="G666" i="4" s="1"/>
  <c r="F667" i="4"/>
  <c r="G667" i="4" s="1"/>
  <c r="F668" i="4"/>
  <c r="G668" i="4" s="1"/>
  <c r="F669" i="4"/>
  <c r="F670" i="4"/>
  <c r="F671" i="4"/>
  <c r="G671" i="4" s="1"/>
  <c r="F672" i="4"/>
  <c r="F673" i="4"/>
  <c r="F674" i="4"/>
  <c r="F351" i="4"/>
  <c r="H674" i="4"/>
  <c r="G674" i="4"/>
  <c r="H673" i="4"/>
  <c r="G673" i="4"/>
  <c r="H672" i="4"/>
  <c r="G672" i="4"/>
  <c r="H671" i="4"/>
  <c r="H670" i="4"/>
  <c r="G670" i="4"/>
  <c r="H669" i="4"/>
  <c r="G669" i="4"/>
  <c r="H668" i="4"/>
  <c r="H667" i="4"/>
  <c r="H666" i="4"/>
  <c r="H665" i="4"/>
  <c r="G665" i="4"/>
  <c r="H664" i="4"/>
  <c r="G664" i="4"/>
  <c r="H663" i="4"/>
  <c r="G663" i="4"/>
  <c r="H662" i="4"/>
  <c r="G662" i="4"/>
  <c r="H661" i="4"/>
  <c r="H660" i="4"/>
  <c r="G660" i="4"/>
  <c r="H659" i="4"/>
  <c r="G659" i="4"/>
  <c r="H658" i="4"/>
  <c r="G658" i="4"/>
  <c r="H657" i="4"/>
  <c r="H656" i="4"/>
  <c r="H655" i="4"/>
  <c r="G655" i="4"/>
  <c r="H654" i="4"/>
  <c r="G654" i="4"/>
  <c r="H653" i="4"/>
  <c r="G653" i="4"/>
  <c r="H652" i="4"/>
  <c r="G652" i="4"/>
  <c r="H651" i="4"/>
  <c r="H650" i="4"/>
  <c r="G650" i="4"/>
  <c r="H649" i="4"/>
  <c r="G649" i="4"/>
  <c r="H648" i="4"/>
  <c r="G648" i="4"/>
  <c r="G644" i="4"/>
  <c r="H644" i="4" s="1"/>
  <c r="G643" i="4"/>
  <c r="H643" i="4" s="1"/>
  <c r="H642" i="4"/>
  <c r="G642" i="4"/>
  <c r="G641" i="4"/>
  <c r="H641" i="4" s="1"/>
  <c r="G640" i="4"/>
  <c r="H640" i="4" s="1"/>
  <c r="G635" i="4"/>
  <c r="H635" i="4" s="1"/>
  <c r="G634" i="4"/>
  <c r="H634" i="4" s="1"/>
  <c r="G633" i="4"/>
  <c r="H633" i="4" s="1"/>
  <c r="H632" i="4"/>
  <c r="G632" i="4"/>
  <c r="G631" i="4"/>
  <c r="H631" i="4" s="1"/>
  <c r="G627" i="4"/>
  <c r="H627" i="4" s="1"/>
  <c r="H626" i="4"/>
  <c r="G626" i="4"/>
  <c r="G625" i="4"/>
  <c r="H625" i="4" s="1"/>
  <c r="G624" i="4"/>
  <c r="H624" i="4" s="1"/>
  <c r="G623" i="4"/>
  <c r="H623" i="4" s="1"/>
  <c r="H622" i="4"/>
  <c r="G622" i="4"/>
  <c r="H620" i="4"/>
  <c r="G620" i="4"/>
  <c r="H619" i="4"/>
  <c r="G619" i="4"/>
  <c r="H618" i="4"/>
  <c r="H617" i="4"/>
  <c r="H616" i="4"/>
  <c r="H615" i="4"/>
  <c r="G615" i="4"/>
  <c r="H614" i="4"/>
  <c r="G614" i="4"/>
  <c r="H613" i="4"/>
  <c r="G613" i="4"/>
  <c r="H612" i="4"/>
  <c r="G612" i="4"/>
  <c r="H611" i="4"/>
  <c r="H610" i="4"/>
  <c r="G610" i="4"/>
  <c r="H609" i="4"/>
  <c r="G609" i="4"/>
  <c r="H608" i="4"/>
  <c r="H607" i="4"/>
  <c r="H606" i="4"/>
  <c r="H605" i="4"/>
  <c r="G605" i="4"/>
  <c r="H604" i="4"/>
  <c r="G604" i="4"/>
  <c r="H603" i="4"/>
  <c r="G603" i="4"/>
  <c r="H602" i="4"/>
  <c r="G602" i="4"/>
  <c r="H601" i="4"/>
  <c r="H600" i="4"/>
  <c r="G600" i="4"/>
  <c r="H599" i="4"/>
  <c r="G599" i="4"/>
  <c r="H598" i="4"/>
  <c r="H597" i="4"/>
  <c r="H596" i="4"/>
  <c r="H595" i="4"/>
  <c r="G595" i="4"/>
  <c r="H594" i="4"/>
  <c r="G594" i="4"/>
  <c r="G593" i="4"/>
  <c r="H593" i="4" s="1"/>
  <c r="G592" i="4"/>
  <c r="H592" i="4" s="1"/>
  <c r="G590" i="4"/>
  <c r="H590" i="4" s="1"/>
  <c r="G589" i="4"/>
  <c r="H589" i="4" s="1"/>
  <c r="G588" i="4"/>
  <c r="H588" i="4" s="1"/>
  <c r="G587" i="4"/>
  <c r="H587" i="4" s="1"/>
  <c r="H586" i="4"/>
  <c r="G586" i="4"/>
  <c r="G584" i="4"/>
  <c r="H584" i="4" s="1"/>
  <c r="G583" i="4"/>
  <c r="H583" i="4" s="1"/>
  <c r="H582" i="4"/>
  <c r="G582" i="4"/>
  <c r="G581" i="4"/>
  <c r="H581" i="4" s="1"/>
  <c r="G580" i="4"/>
  <c r="H580" i="4" s="1"/>
  <c r="H579" i="4"/>
  <c r="G579" i="4"/>
  <c r="G578" i="4"/>
  <c r="H578" i="4" s="1"/>
  <c r="G574" i="4"/>
  <c r="H574" i="4" s="1"/>
  <c r="G573" i="4"/>
  <c r="H573" i="4" s="1"/>
  <c r="H572" i="4"/>
  <c r="G572" i="4"/>
  <c r="G571" i="4"/>
  <c r="H571" i="4" s="1"/>
  <c r="G570" i="4"/>
  <c r="H570" i="4" s="1"/>
  <c r="G569" i="4"/>
  <c r="H569" i="4" s="1"/>
  <c r="H566" i="4"/>
  <c r="G566" i="4"/>
  <c r="H565" i="4"/>
  <c r="G565" i="4"/>
  <c r="H564" i="4"/>
  <c r="G564" i="4"/>
  <c r="H563" i="4"/>
  <c r="G563" i="4"/>
  <c r="H562" i="4"/>
  <c r="G562" i="4"/>
  <c r="H561" i="4"/>
  <c r="G561" i="4"/>
  <c r="H560" i="4"/>
  <c r="G560" i="4"/>
  <c r="H559" i="4"/>
  <c r="G559" i="4"/>
  <c r="H558" i="4"/>
  <c r="G558" i="4"/>
  <c r="H557" i="4"/>
  <c r="H556" i="4"/>
  <c r="G556" i="4"/>
  <c r="H555" i="4"/>
  <c r="G555" i="4"/>
  <c r="H554" i="4"/>
  <c r="G554" i="4"/>
  <c r="H553" i="4"/>
  <c r="G553" i="4"/>
  <c r="H552" i="4"/>
  <c r="G552" i="4"/>
  <c r="H551" i="4"/>
  <c r="G551" i="4"/>
  <c r="H550" i="4"/>
  <c r="G550" i="4"/>
  <c r="H549" i="4"/>
  <c r="G549" i="4"/>
  <c r="H548" i="4"/>
  <c r="G548" i="4"/>
  <c r="H547" i="4"/>
  <c r="H546" i="4"/>
  <c r="G546" i="4"/>
  <c r="H545" i="4"/>
  <c r="G545" i="4"/>
  <c r="H544" i="4"/>
  <c r="G544" i="4"/>
  <c r="H543" i="4"/>
  <c r="G543" i="4"/>
  <c r="H542" i="4"/>
  <c r="G542" i="4"/>
  <c r="H541" i="4"/>
  <c r="G541" i="4"/>
  <c r="H540" i="4"/>
  <c r="G540" i="4"/>
  <c r="H539" i="4"/>
  <c r="G539" i="4"/>
  <c r="G537" i="4"/>
  <c r="H537" i="4" s="1"/>
  <c r="G534" i="4"/>
  <c r="H534" i="4" s="1"/>
  <c r="G533" i="4"/>
  <c r="H533" i="4" s="1"/>
  <c r="H532" i="4"/>
  <c r="G532" i="4"/>
  <c r="G531" i="4"/>
  <c r="H531" i="4" s="1"/>
  <c r="G530" i="4"/>
  <c r="H530" i="4" s="1"/>
  <c r="G526" i="4"/>
  <c r="H526" i="4" s="1"/>
  <c r="G525" i="4"/>
  <c r="H525" i="4" s="1"/>
  <c r="G524" i="4"/>
  <c r="H524" i="4" s="1"/>
  <c r="G523" i="4"/>
  <c r="H523" i="4" s="1"/>
  <c r="G522" i="4"/>
  <c r="H522" i="4" s="1"/>
  <c r="G520" i="4"/>
  <c r="H520" i="4" s="1"/>
  <c r="G519" i="4"/>
  <c r="H519" i="4" s="1"/>
  <c r="G518" i="4"/>
  <c r="H518" i="4" s="1"/>
  <c r="G517" i="4"/>
  <c r="H517" i="4" s="1"/>
  <c r="H516" i="4"/>
  <c r="G516" i="4"/>
  <c r="G514" i="4"/>
  <c r="H514" i="4" s="1"/>
  <c r="G513" i="4"/>
  <c r="H513" i="4" s="1"/>
  <c r="H512" i="4"/>
  <c r="G512" i="4"/>
  <c r="H511" i="4"/>
  <c r="G511" i="4"/>
  <c r="H510" i="4"/>
  <c r="G510" i="4"/>
  <c r="H509" i="4"/>
  <c r="H508" i="4"/>
  <c r="H507" i="4"/>
  <c r="H506" i="4"/>
  <c r="G506" i="4"/>
  <c r="H505" i="4"/>
  <c r="G505" i="4"/>
  <c r="H504" i="4"/>
  <c r="G504" i="4"/>
  <c r="H503" i="4"/>
  <c r="G503" i="4"/>
  <c r="H502" i="4"/>
  <c r="G502" i="4"/>
  <c r="H501" i="4"/>
  <c r="G501" i="4"/>
  <c r="H500" i="4"/>
  <c r="G500" i="4"/>
  <c r="H499" i="4"/>
  <c r="H498" i="4"/>
  <c r="H497" i="4"/>
  <c r="H496" i="4"/>
  <c r="G496" i="4"/>
  <c r="H495" i="4"/>
  <c r="G495" i="4"/>
  <c r="H494" i="4"/>
  <c r="G494" i="4"/>
  <c r="H493" i="4"/>
  <c r="G493" i="4"/>
  <c r="H492" i="4"/>
  <c r="G492" i="4"/>
  <c r="H491" i="4"/>
  <c r="G491" i="4"/>
  <c r="H490" i="4"/>
  <c r="G490" i="4"/>
  <c r="H489" i="4"/>
  <c r="H488" i="4"/>
  <c r="H487" i="4"/>
  <c r="H486" i="4"/>
  <c r="G486" i="4"/>
  <c r="G485" i="4"/>
  <c r="H485" i="4" s="1"/>
  <c r="G484" i="4"/>
  <c r="H484" i="4" s="1"/>
  <c r="G483" i="4"/>
  <c r="H483" i="4" s="1"/>
  <c r="G482" i="4"/>
  <c r="H482" i="4" s="1"/>
  <c r="G480" i="4"/>
  <c r="H480" i="4" s="1"/>
  <c r="G479" i="4"/>
  <c r="H479" i="4" s="1"/>
  <c r="G478" i="4"/>
  <c r="H478" i="4" s="1"/>
  <c r="G477" i="4"/>
  <c r="H477" i="4" s="1"/>
  <c r="H476" i="4"/>
  <c r="G476" i="4"/>
  <c r="G474" i="4"/>
  <c r="H474" i="4" s="1"/>
  <c r="G473" i="4"/>
  <c r="H473" i="4" s="1"/>
  <c r="H472" i="4"/>
  <c r="G472" i="4"/>
  <c r="G471" i="4"/>
  <c r="H471" i="4" s="1"/>
  <c r="G470" i="4"/>
  <c r="H470" i="4" s="1"/>
  <c r="G469" i="4"/>
  <c r="H469" i="4" s="1"/>
  <c r="G468" i="4"/>
  <c r="H468" i="4" s="1"/>
  <c r="G467" i="4"/>
  <c r="H467" i="4" s="1"/>
  <c r="G466" i="4"/>
  <c r="H466" i="4" s="1"/>
  <c r="G464" i="4"/>
  <c r="H464" i="4" s="1"/>
  <c r="G463" i="4"/>
  <c r="H463" i="4" s="1"/>
  <c r="G462" i="4"/>
  <c r="H462" i="4" s="1"/>
  <c r="G461" i="4"/>
  <c r="H461" i="4" s="1"/>
  <c r="G460" i="4"/>
  <c r="H460" i="4" s="1"/>
  <c r="G459" i="4"/>
  <c r="H459" i="4" s="1"/>
  <c r="H458" i="4"/>
  <c r="G458" i="4"/>
  <c r="H457" i="4"/>
  <c r="H456" i="4"/>
  <c r="G456" i="4"/>
  <c r="H455" i="4"/>
  <c r="G455" i="4"/>
  <c r="H454" i="4"/>
  <c r="G454" i="4"/>
  <c r="H453" i="4"/>
  <c r="G453" i="4"/>
  <c r="H452" i="4"/>
  <c r="G452" i="4"/>
  <c r="H451" i="4"/>
  <c r="G451" i="4"/>
  <c r="H450" i="4"/>
  <c r="G450" i="4"/>
  <c r="H449" i="4"/>
  <c r="G449" i="4"/>
  <c r="H448" i="4"/>
  <c r="G448" i="4"/>
  <c r="H447" i="4"/>
  <c r="H446" i="4"/>
  <c r="G446" i="4"/>
  <c r="H445" i="4"/>
  <c r="G445" i="4"/>
  <c r="H444" i="4"/>
  <c r="G444" i="4"/>
  <c r="H443" i="4"/>
  <c r="G443" i="4"/>
  <c r="H442" i="4"/>
  <c r="G442" i="4"/>
  <c r="H441" i="4"/>
  <c r="G441" i="4"/>
  <c r="H440" i="4"/>
  <c r="G440" i="4"/>
  <c r="H439" i="4"/>
  <c r="G439" i="4"/>
  <c r="H438" i="4"/>
  <c r="G438" i="4"/>
  <c r="H437" i="4"/>
  <c r="H436" i="4"/>
  <c r="G436" i="4"/>
  <c r="H435" i="4"/>
  <c r="G435" i="4"/>
  <c r="H434" i="4"/>
  <c r="G434" i="4"/>
  <c r="H433" i="4"/>
  <c r="G433" i="4"/>
  <c r="H432" i="4"/>
  <c r="G432" i="4"/>
  <c r="G430" i="4"/>
  <c r="H430" i="4" s="1"/>
  <c r="G429" i="4"/>
  <c r="H429" i="4" s="1"/>
  <c r="G428" i="4"/>
  <c r="H428" i="4" s="1"/>
  <c r="G427" i="4"/>
  <c r="H427" i="4" s="1"/>
  <c r="G426" i="4"/>
  <c r="H426" i="4" s="1"/>
  <c r="G424" i="4"/>
  <c r="H424" i="4" s="1"/>
  <c r="G423" i="4"/>
  <c r="H423" i="4" s="1"/>
  <c r="G422" i="4"/>
  <c r="H422" i="4" s="1"/>
  <c r="G420" i="4"/>
  <c r="H420" i="4" s="1"/>
  <c r="G419" i="4"/>
  <c r="H419" i="4" s="1"/>
  <c r="G418" i="4"/>
  <c r="H418" i="4" s="1"/>
  <c r="G417" i="4"/>
  <c r="H417" i="4" s="1"/>
  <c r="G416" i="4"/>
  <c r="H416" i="4" s="1"/>
  <c r="G414" i="4"/>
  <c r="H414" i="4" s="1"/>
  <c r="G413" i="4"/>
  <c r="H413" i="4" s="1"/>
  <c r="H412" i="4"/>
  <c r="G412" i="4"/>
  <c r="G411" i="4"/>
  <c r="H411" i="4" s="1"/>
  <c r="G410" i="4"/>
  <c r="H410" i="4" s="1"/>
  <c r="G409" i="4"/>
  <c r="H409" i="4" s="1"/>
  <c r="G408" i="4"/>
  <c r="H408" i="4" s="1"/>
  <c r="G407" i="4"/>
  <c r="H407" i="4" s="1"/>
  <c r="G405" i="4"/>
  <c r="H405" i="4" s="1"/>
  <c r="H404" i="4"/>
  <c r="G404" i="4"/>
  <c r="H403" i="4"/>
  <c r="G403" i="4"/>
  <c r="H402" i="4"/>
  <c r="G402" i="4"/>
  <c r="H401" i="4"/>
  <c r="G401" i="4"/>
  <c r="H400" i="4"/>
  <c r="G400" i="4"/>
  <c r="H399" i="4"/>
  <c r="H398" i="4"/>
  <c r="G398" i="4"/>
  <c r="H397" i="4"/>
  <c r="G397" i="4"/>
  <c r="H396" i="4"/>
  <c r="G396" i="4"/>
  <c r="H395" i="4"/>
  <c r="G395" i="4"/>
  <c r="H394" i="4"/>
  <c r="G394" i="4"/>
  <c r="H393" i="4"/>
  <c r="G393" i="4"/>
  <c r="H392" i="4"/>
  <c r="G392" i="4"/>
  <c r="H391" i="4"/>
  <c r="G391" i="4"/>
  <c r="H390" i="4"/>
  <c r="G390" i="4"/>
  <c r="H389" i="4"/>
  <c r="H388" i="4"/>
  <c r="G388" i="4"/>
  <c r="H387" i="4"/>
  <c r="G387" i="4"/>
  <c r="H386" i="4"/>
  <c r="G386" i="4"/>
  <c r="H385" i="4"/>
  <c r="G385" i="4"/>
  <c r="H384" i="4"/>
  <c r="G384" i="4"/>
  <c r="H383" i="4"/>
  <c r="G383" i="4"/>
  <c r="H382" i="4"/>
  <c r="G382" i="4"/>
  <c r="H381" i="4"/>
  <c r="G381" i="4"/>
  <c r="H380" i="4"/>
  <c r="G380" i="4"/>
  <c r="H379" i="4"/>
  <c r="H378" i="4"/>
  <c r="G378" i="4"/>
  <c r="G377" i="4"/>
  <c r="H377" i="4" s="1"/>
  <c r="G376" i="4"/>
  <c r="H376" i="4" s="1"/>
  <c r="G375" i="4"/>
  <c r="H375" i="4" s="1"/>
  <c r="G374" i="4"/>
  <c r="H374" i="4" s="1"/>
  <c r="G373" i="4"/>
  <c r="H373" i="4" s="1"/>
  <c r="H372" i="4"/>
  <c r="G372" i="4"/>
  <c r="G370" i="4"/>
  <c r="H370" i="4" s="1"/>
  <c r="G369" i="4"/>
  <c r="H369" i="4" s="1"/>
  <c r="G368" i="4"/>
  <c r="H368" i="4" s="1"/>
  <c r="G367" i="4"/>
  <c r="H367" i="4" s="1"/>
  <c r="G366" i="4"/>
  <c r="H366" i="4" s="1"/>
  <c r="G364" i="4"/>
  <c r="H364" i="4" s="1"/>
  <c r="G363" i="4"/>
  <c r="H363" i="4" s="1"/>
  <c r="H362" i="4"/>
  <c r="G362" i="4"/>
  <c r="G360" i="4"/>
  <c r="H360" i="4" s="1"/>
  <c r="G359" i="4"/>
  <c r="H359" i="4" s="1"/>
  <c r="G358" i="4"/>
  <c r="H358" i="4" s="1"/>
  <c r="G356" i="4"/>
  <c r="H356" i="4" s="1"/>
  <c r="G354" i="4"/>
  <c r="H354" i="4" s="1"/>
  <c r="G353" i="4"/>
  <c r="H353" i="4" s="1"/>
  <c r="G352" i="4"/>
  <c r="H352" i="4" s="1"/>
  <c r="G351" i="4"/>
  <c r="H351" i="4" s="1"/>
  <c r="C346" i="4"/>
  <c r="B346" i="4"/>
  <c r="D346" i="4" s="1"/>
  <c r="C345" i="4"/>
  <c r="B345" i="4"/>
  <c r="D345" i="4" s="1"/>
  <c r="C344" i="4"/>
  <c r="B344" i="4"/>
  <c r="D344" i="4" s="1"/>
  <c r="D343" i="4"/>
  <c r="C343" i="4"/>
  <c r="B343" i="4"/>
  <c r="F339" i="4"/>
  <c r="F338" i="4"/>
  <c r="F337" i="4"/>
  <c r="F336" i="4"/>
  <c r="F335" i="4"/>
  <c r="F334" i="4"/>
  <c r="F333" i="4"/>
  <c r="F332" i="4"/>
  <c r="F331" i="4"/>
  <c r="F330" i="4"/>
  <c r="F329" i="4"/>
  <c r="F328" i="4"/>
  <c r="C339" i="4"/>
  <c r="C338" i="4"/>
  <c r="C337" i="4"/>
  <c r="E337" i="4" s="1"/>
  <c r="C336" i="4"/>
  <c r="C335" i="4"/>
  <c r="C334" i="4"/>
  <c r="C333" i="4"/>
  <c r="E333" i="4" s="1"/>
  <c r="C332" i="4"/>
  <c r="E332" i="4" s="1"/>
  <c r="C331" i="4"/>
  <c r="C330" i="4"/>
  <c r="C329" i="4"/>
  <c r="C328" i="4"/>
  <c r="E328" i="4" s="1"/>
  <c r="E339" i="4"/>
  <c r="E338" i="4"/>
  <c r="E336" i="4"/>
  <c r="E335" i="4"/>
  <c r="E334" i="4"/>
  <c r="E331" i="4"/>
  <c r="E330" i="4"/>
  <c r="E329" i="4"/>
  <c r="H325" i="4"/>
  <c r="F325" i="4"/>
  <c r="H324" i="4"/>
  <c r="F324" i="4"/>
  <c r="H323" i="4"/>
  <c r="F323" i="4"/>
  <c r="H322" i="4"/>
  <c r="F322" i="4"/>
  <c r="H321" i="4"/>
  <c r="F321" i="4"/>
  <c r="H320" i="4"/>
  <c r="F320" i="4"/>
  <c r="H319" i="4"/>
  <c r="F319" i="4"/>
  <c r="H318" i="4"/>
  <c r="F318" i="4"/>
  <c r="H317" i="4"/>
  <c r="F317" i="4"/>
  <c r="H316" i="4"/>
  <c r="F316" i="4"/>
  <c r="H315" i="4"/>
  <c r="F315" i="4"/>
  <c r="H314" i="4"/>
  <c r="F314" i="4"/>
  <c r="H313" i="4"/>
  <c r="F313" i="4"/>
  <c r="H312" i="4"/>
  <c r="F312" i="4"/>
  <c r="H311" i="4"/>
  <c r="F311" i="4"/>
  <c r="H310" i="4"/>
  <c r="F310" i="4"/>
  <c r="H309" i="4"/>
  <c r="F309" i="4"/>
  <c r="H308" i="4"/>
  <c r="F308" i="4"/>
  <c r="H307" i="4"/>
  <c r="F307" i="4"/>
  <c r="H306" i="4"/>
  <c r="F306" i="4"/>
  <c r="H305" i="4"/>
  <c r="F305" i="4"/>
  <c r="H304" i="4"/>
  <c r="F304" i="4"/>
  <c r="H303" i="4"/>
  <c r="F303" i="4"/>
  <c r="H302" i="4"/>
  <c r="F302" i="4"/>
  <c r="H301" i="4"/>
  <c r="F301" i="4"/>
  <c r="H300" i="4"/>
  <c r="F300" i="4"/>
  <c r="H299" i="4"/>
  <c r="F299" i="4"/>
  <c r="H298" i="4"/>
  <c r="F298" i="4"/>
  <c r="H297" i="4"/>
  <c r="F297" i="4"/>
  <c r="H296" i="4"/>
  <c r="F296" i="4"/>
  <c r="H295" i="4"/>
  <c r="F295" i="4"/>
  <c r="H294" i="4"/>
  <c r="F294" i="4"/>
  <c r="H293" i="4"/>
  <c r="F293" i="4"/>
  <c r="H292" i="4"/>
  <c r="F292" i="4"/>
  <c r="H291" i="4"/>
  <c r="F291" i="4"/>
  <c r="H290" i="4"/>
  <c r="F290" i="4"/>
  <c r="H289" i="4"/>
  <c r="F289" i="4"/>
  <c r="H288" i="4"/>
  <c r="F288" i="4"/>
  <c r="H287" i="4"/>
  <c r="F287" i="4"/>
  <c r="H286" i="4"/>
  <c r="F286" i="4"/>
  <c r="H285" i="4"/>
  <c r="F285" i="4"/>
  <c r="H284" i="4"/>
  <c r="F284" i="4"/>
  <c r="H283" i="4"/>
  <c r="F283" i="4"/>
  <c r="H282" i="4"/>
  <c r="F282" i="4"/>
  <c r="H281" i="4"/>
  <c r="F281" i="4"/>
  <c r="H280" i="4"/>
  <c r="F280" i="4"/>
  <c r="H279" i="4"/>
  <c r="F279" i="4"/>
  <c r="H278" i="4"/>
  <c r="F278" i="4"/>
  <c r="H277" i="4"/>
  <c r="F277" i="4"/>
  <c r="H276" i="4"/>
  <c r="F276" i="4"/>
  <c r="H275" i="4"/>
  <c r="F275" i="4"/>
  <c r="H274" i="4"/>
  <c r="F274" i="4"/>
  <c r="H273" i="4"/>
  <c r="F273" i="4"/>
  <c r="H272" i="4"/>
  <c r="F272" i="4"/>
  <c r="H271" i="4"/>
  <c r="F271" i="4"/>
  <c r="H270" i="4"/>
  <c r="F270" i="4"/>
  <c r="H269" i="4"/>
  <c r="F269" i="4"/>
  <c r="H268" i="4"/>
  <c r="F268" i="4"/>
  <c r="H267" i="4"/>
  <c r="F267" i="4"/>
  <c r="H266" i="4"/>
  <c r="F266" i="4"/>
  <c r="H265" i="4"/>
  <c r="F265" i="4"/>
  <c r="H264" i="4"/>
  <c r="F264" i="4"/>
  <c r="H263" i="4"/>
  <c r="F263" i="4"/>
  <c r="H262" i="4"/>
  <c r="F262" i="4"/>
  <c r="H261" i="4"/>
  <c r="F261" i="4"/>
  <c r="H260" i="4"/>
  <c r="F260" i="4"/>
  <c r="H259" i="4"/>
  <c r="F259" i="4"/>
  <c r="H258" i="4"/>
  <c r="F258" i="4"/>
  <c r="H257" i="4"/>
  <c r="F257" i="4"/>
  <c r="H256" i="4"/>
  <c r="F256" i="4"/>
  <c r="H255" i="4"/>
  <c r="F255" i="4"/>
  <c r="H254" i="4"/>
  <c r="F254" i="4"/>
  <c r="H253" i="4"/>
  <c r="F253" i="4"/>
  <c r="H252" i="4"/>
  <c r="F252" i="4"/>
  <c r="H251" i="4"/>
  <c r="F251" i="4"/>
  <c r="H250" i="4"/>
  <c r="F250" i="4"/>
  <c r="H249" i="4"/>
  <c r="F249" i="4"/>
  <c r="H248" i="4"/>
  <c r="F248" i="4"/>
  <c r="H247" i="4"/>
  <c r="F247" i="4"/>
  <c r="H246" i="4"/>
  <c r="F246" i="4"/>
  <c r="H245" i="4"/>
  <c r="F245" i="4"/>
  <c r="H244" i="4"/>
  <c r="F244" i="4"/>
  <c r="H243" i="4"/>
  <c r="F243" i="4"/>
  <c r="H242" i="4"/>
  <c r="F242" i="4"/>
  <c r="H241" i="4"/>
  <c r="F241" i="4"/>
  <c r="H240" i="4"/>
  <c r="F240" i="4"/>
  <c r="H239" i="4"/>
  <c r="F239" i="4"/>
  <c r="H238" i="4"/>
  <c r="F238" i="4"/>
  <c r="H237" i="4"/>
  <c r="F237" i="4"/>
  <c r="H236" i="4"/>
  <c r="F236" i="4"/>
  <c r="H235" i="4"/>
  <c r="F235" i="4"/>
  <c r="H234" i="4"/>
  <c r="F234" i="4"/>
  <c r="H233" i="4"/>
  <c r="F233" i="4"/>
  <c r="H232" i="4"/>
  <c r="F232" i="4"/>
  <c r="H231" i="4"/>
  <c r="F231" i="4"/>
  <c r="H230" i="4"/>
  <c r="F230" i="4"/>
  <c r="H229" i="4"/>
  <c r="F229" i="4"/>
  <c r="H228" i="4"/>
  <c r="F228" i="4"/>
  <c r="H227" i="4"/>
  <c r="F227" i="4"/>
  <c r="H226" i="4"/>
  <c r="F226" i="4"/>
  <c r="H225" i="4"/>
  <c r="F225" i="4"/>
  <c r="H224" i="4"/>
  <c r="F224" i="4"/>
  <c r="H223" i="4"/>
  <c r="F223" i="4"/>
  <c r="H222" i="4"/>
  <c r="F222" i="4"/>
  <c r="H221" i="4"/>
  <c r="F221" i="4"/>
  <c r="H220" i="4"/>
  <c r="F220" i="4"/>
  <c r="H219" i="4"/>
  <c r="F219" i="4"/>
  <c r="H218" i="4"/>
  <c r="F218" i="4"/>
  <c r="H217" i="4"/>
  <c r="F217" i="4"/>
  <c r="H216" i="4"/>
  <c r="F216" i="4"/>
  <c r="H215" i="4"/>
  <c r="F215" i="4"/>
  <c r="H214" i="4"/>
  <c r="F214" i="4"/>
  <c r="H213" i="4"/>
  <c r="F213" i="4"/>
  <c r="H212" i="4"/>
  <c r="F212" i="4"/>
  <c r="H211" i="4"/>
  <c r="F211" i="4"/>
  <c r="H210" i="4"/>
  <c r="F210" i="4"/>
  <c r="H209" i="4"/>
  <c r="F209" i="4"/>
  <c r="H208" i="4"/>
  <c r="F208" i="4"/>
  <c r="H207" i="4"/>
  <c r="F207" i="4"/>
  <c r="H206" i="4"/>
  <c r="F206" i="4"/>
  <c r="H205" i="4"/>
  <c r="F205" i="4"/>
  <c r="H204" i="4"/>
  <c r="F204" i="4"/>
  <c r="H203" i="4"/>
  <c r="F203" i="4"/>
  <c r="H202" i="4"/>
  <c r="F202" i="4"/>
  <c r="H201" i="4"/>
  <c r="F201" i="4"/>
  <c r="H200" i="4"/>
  <c r="F200" i="4"/>
  <c r="H199" i="4"/>
  <c r="F199" i="4"/>
  <c r="H198" i="4"/>
  <c r="F198" i="4"/>
  <c r="H197" i="4"/>
  <c r="F197" i="4"/>
  <c r="H196" i="4"/>
  <c r="F196" i="4"/>
  <c r="H195" i="4"/>
  <c r="F195" i="4"/>
  <c r="H194" i="4"/>
  <c r="F194" i="4"/>
  <c r="H193" i="4"/>
  <c r="F193" i="4"/>
  <c r="H192" i="4"/>
  <c r="F192" i="4"/>
  <c r="H191" i="4"/>
  <c r="F191" i="4"/>
  <c r="H190" i="4"/>
  <c r="F190" i="4"/>
  <c r="H189" i="4"/>
  <c r="F189" i="4"/>
  <c r="H188" i="4"/>
  <c r="F188" i="4"/>
  <c r="H187" i="4"/>
  <c r="F187" i="4"/>
  <c r="H186" i="4"/>
  <c r="F186" i="4"/>
  <c r="H185" i="4"/>
  <c r="F185" i="4"/>
  <c r="H184" i="4"/>
  <c r="F184" i="4"/>
  <c r="H183" i="4"/>
  <c r="F183" i="4"/>
  <c r="H182" i="4"/>
  <c r="F182" i="4"/>
  <c r="H181" i="4"/>
  <c r="F181" i="4"/>
  <c r="H180" i="4"/>
  <c r="F180" i="4"/>
  <c r="H179" i="4"/>
  <c r="F179" i="4"/>
  <c r="H178" i="4"/>
  <c r="F178" i="4"/>
  <c r="H177" i="4"/>
  <c r="F177" i="4"/>
  <c r="H176" i="4"/>
  <c r="F176" i="4"/>
  <c r="H175" i="4"/>
  <c r="F175" i="4"/>
  <c r="H174" i="4"/>
  <c r="F174" i="4"/>
  <c r="H173" i="4"/>
  <c r="F173" i="4"/>
  <c r="H172" i="4"/>
  <c r="F172" i="4"/>
  <c r="H171" i="4"/>
  <c r="F171" i="4"/>
  <c r="H170" i="4"/>
  <c r="F170" i="4"/>
  <c r="H169" i="4"/>
  <c r="F169" i="4"/>
  <c r="H168" i="4"/>
  <c r="F168" i="4"/>
  <c r="H167" i="4"/>
  <c r="F167" i="4"/>
  <c r="H166" i="4"/>
  <c r="F166" i="4"/>
  <c r="H165" i="4"/>
  <c r="F165" i="4"/>
  <c r="H164" i="4"/>
  <c r="F164" i="4"/>
  <c r="H163" i="4"/>
  <c r="F163" i="4"/>
  <c r="H162" i="4"/>
  <c r="F162" i="4"/>
  <c r="H161" i="4"/>
  <c r="F161" i="4"/>
  <c r="H160" i="4"/>
  <c r="F160" i="4"/>
  <c r="H159" i="4"/>
  <c r="F159" i="4"/>
  <c r="H158" i="4"/>
  <c r="F158" i="4"/>
  <c r="H157" i="4"/>
  <c r="F157" i="4"/>
  <c r="H156" i="4"/>
  <c r="F156" i="4"/>
  <c r="H155" i="4"/>
  <c r="F155" i="4"/>
  <c r="H154" i="4"/>
  <c r="F154" i="4"/>
  <c r="H153" i="4"/>
  <c r="F153" i="4"/>
  <c r="H152" i="4"/>
  <c r="F152" i="4"/>
  <c r="H151" i="4"/>
  <c r="F151" i="4"/>
  <c r="H150" i="4"/>
  <c r="F150" i="4"/>
  <c r="H149" i="4"/>
  <c r="F149" i="4"/>
  <c r="H148" i="4"/>
  <c r="F148" i="4"/>
  <c r="H147" i="4"/>
  <c r="F147" i="4"/>
  <c r="H146" i="4"/>
  <c r="F146" i="4"/>
  <c r="H145" i="4"/>
  <c r="F145" i="4"/>
  <c r="H144" i="4"/>
  <c r="F144" i="4"/>
  <c r="H143" i="4"/>
  <c r="F143" i="4"/>
  <c r="H142" i="4"/>
  <c r="F142" i="4"/>
  <c r="H141" i="4"/>
  <c r="F141" i="4"/>
  <c r="H140" i="4"/>
  <c r="F140" i="4"/>
  <c r="H139" i="4"/>
  <c r="F139" i="4"/>
  <c r="H138" i="4"/>
  <c r="F138" i="4"/>
  <c r="H137" i="4"/>
  <c r="F137" i="4"/>
  <c r="H136" i="4"/>
  <c r="F136" i="4"/>
  <c r="H135" i="4"/>
  <c r="F135" i="4"/>
  <c r="H134" i="4"/>
  <c r="F134" i="4"/>
  <c r="H133" i="4"/>
  <c r="F133" i="4"/>
  <c r="H132" i="4"/>
  <c r="F132" i="4"/>
  <c r="H131" i="4"/>
  <c r="F131" i="4"/>
  <c r="H130" i="4"/>
  <c r="F130" i="4"/>
  <c r="H129" i="4"/>
  <c r="F129" i="4"/>
  <c r="H128" i="4"/>
  <c r="F128" i="4"/>
  <c r="H127" i="4"/>
  <c r="F127" i="4"/>
  <c r="H126" i="4"/>
  <c r="F126" i="4"/>
  <c r="H125" i="4"/>
  <c r="F125" i="4"/>
  <c r="H124" i="4"/>
  <c r="F124" i="4"/>
  <c r="H123" i="4"/>
  <c r="F123" i="4"/>
  <c r="H122" i="4"/>
  <c r="F122" i="4"/>
  <c r="H121" i="4"/>
  <c r="F121" i="4"/>
  <c r="H120" i="4"/>
  <c r="F120" i="4"/>
  <c r="H119" i="4"/>
  <c r="F119" i="4"/>
  <c r="H118" i="4"/>
  <c r="F118" i="4"/>
  <c r="H117" i="4"/>
  <c r="F117" i="4"/>
  <c r="H116" i="4"/>
  <c r="F116" i="4"/>
  <c r="H115" i="4"/>
  <c r="F115" i="4"/>
  <c r="H114" i="4"/>
  <c r="F114" i="4"/>
  <c r="H113" i="4"/>
  <c r="F113" i="4"/>
  <c r="H112" i="4"/>
  <c r="F112" i="4"/>
  <c r="H111" i="4"/>
  <c r="F111" i="4"/>
  <c r="H110" i="4"/>
  <c r="F110" i="4"/>
  <c r="H109" i="4"/>
  <c r="F109" i="4"/>
  <c r="H108" i="4"/>
  <c r="F108" i="4"/>
  <c r="H107" i="4"/>
  <c r="F107" i="4"/>
  <c r="H106" i="4"/>
  <c r="F106" i="4"/>
  <c r="H105" i="4"/>
  <c r="F105" i="4"/>
  <c r="H104" i="4"/>
  <c r="F104" i="4"/>
  <c r="H103" i="4"/>
  <c r="F103" i="4"/>
  <c r="H102" i="4"/>
  <c r="F102" i="4"/>
  <c r="H101" i="4"/>
  <c r="F101" i="4"/>
  <c r="H100" i="4"/>
  <c r="F100" i="4"/>
  <c r="H99" i="4"/>
  <c r="F99" i="4"/>
  <c r="H98" i="4"/>
  <c r="F98" i="4"/>
  <c r="H97" i="4"/>
  <c r="F97" i="4"/>
  <c r="H96" i="4"/>
  <c r="F96" i="4"/>
  <c r="H95" i="4"/>
  <c r="F95" i="4"/>
  <c r="H94" i="4"/>
  <c r="F94" i="4"/>
  <c r="H93" i="4"/>
  <c r="F93" i="4"/>
  <c r="H92" i="4"/>
  <c r="F92" i="4"/>
  <c r="H91" i="4"/>
  <c r="F91" i="4"/>
  <c r="H90" i="4"/>
  <c r="F90" i="4"/>
  <c r="H89" i="4"/>
  <c r="F89" i="4"/>
  <c r="H88" i="4"/>
  <c r="F88" i="4"/>
  <c r="H87" i="4"/>
  <c r="F87" i="4"/>
  <c r="H86" i="4"/>
  <c r="F86" i="4"/>
  <c r="H85" i="4"/>
  <c r="F85" i="4"/>
  <c r="H84" i="4"/>
  <c r="F84" i="4"/>
  <c r="H83" i="4"/>
  <c r="F83" i="4"/>
  <c r="H82" i="4"/>
  <c r="F82" i="4"/>
  <c r="H81" i="4"/>
  <c r="F81" i="4"/>
  <c r="H80" i="4"/>
  <c r="F80" i="4"/>
  <c r="H79" i="4"/>
  <c r="F79" i="4"/>
  <c r="H78" i="4"/>
  <c r="F78" i="4"/>
  <c r="H77" i="4"/>
  <c r="F77" i="4"/>
  <c r="H76" i="4"/>
  <c r="F76" i="4"/>
  <c r="H75" i="4"/>
  <c r="F75" i="4"/>
  <c r="H74" i="4"/>
  <c r="F74" i="4"/>
  <c r="H73" i="4"/>
  <c r="F73" i="4"/>
  <c r="H72" i="4"/>
  <c r="F72" i="4"/>
  <c r="H71" i="4"/>
  <c r="F71" i="4"/>
  <c r="H70" i="4"/>
  <c r="F70" i="4"/>
  <c r="H69" i="4"/>
  <c r="F69" i="4"/>
  <c r="H68" i="4"/>
  <c r="F68" i="4"/>
  <c r="H67" i="4"/>
  <c r="F67" i="4"/>
  <c r="H66" i="4"/>
  <c r="F66" i="4"/>
  <c r="H65" i="4"/>
  <c r="F65" i="4"/>
  <c r="H64" i="4"/>
  <c r="F64" i="4"/>
  <c r="H63" i="4"/>
  <c r="F63" i="4"/>
  <c r="H62" i="4"/>
  <c r="F62" i="4"/>
  <c r="H61" i="4"/>
  <c r="F61" i="4"/>
  <c r="H60" i="4"/>
  <c r="F60" i="4"/>
  <c r="H59" i="4"/>
  <c r="F59" i="4"/>
  <c r="H58" i="4"/>
  <c r="F58" i="4"/>
  <c r="H57" i="4"/>
  <c r="F57" i="4"/>
  <c r="H56" i="4"/>
  <c r="F56" i="4"/>
  <c r="H55" i="4"/>
  <c r="F55" i="4"/>
  <c r="H54" i="4"/>
  <c r="F54" i="4"/>
  <c r="H53" i="4"/>
  <c r="F53" i="4"/>
  <c r="H52" i="4"/>
  <c r="F52" i="4"/>
  <c r="H51" i="4"/>
  <c r="F51" i="4"/>
  <c r="H50" i="4"/>
  <c r="F50" i="4"/>
  <c r="H49" i="4"/>
  <c r="F49" i="4"/>
  <c r="H48" i="4"/>
  <c r="F48" i="4"/>
  <c r="H47" i="4"/>
  <c r="F47" i="4"/>
  <c r="H46" i="4"/>
  <c r="F46" i="4"/>
  <c r="H45" i="4"/>
  <c r="F45" i="4"/>
  <c r="H44" i="4"/>
  <c r="F44" i="4"/>
  <c r="H43" i="4"/>
  <c r="F43" i="4"/>
  <c r="H42" i="4"/>
  <c r="F42" i="4"/>
  <c r="H41" i="4"/>
  <c r="F41" i="4"/>
  <c r="H40" i="4"/>
  <c r="F40" i="4"/>
  <c r="H39" i="4"/>
  <c r="F39" i="4"/>
  <c r="H38" i="4"/>
  <c r="F38" i="4"/>
  <c r="H37" i="4"/>
  <c r="F37" i="4"/>
  <c r="H36" i="4"/>
  <c r="F36" i="4"/>
  <c r="H35" i="4"/>
  <c r="F35" i="4"/>
  <c r="H34" i="4"/>
  <c r="F34" i="4"/>
  <c r="H33" i="4"/>
  <c r="F33" i="4"/>
  <c r="H32" i="4"/>
  <c r="F32" i="4"/>
  <c r="H31" i="4"/>
  <c r="F31" i="4"/>
  <c r="H30" i="4"/>
  <c r="F30" i="4"/>
  <c r="H29" i="4"/>
  <c r="F29" i="4"/>
  <c r="H28" i="4"/>
  <c r="F28" i="4"/>
  <c r="H27" i="4"/>
  <c r="F27" i="4"/>
  <c r="H26" i="4"/>
  <c r="F26" i="4"/>
  <c r="H25" i="4"/>
  <c r="F25" i="4"/>
  <c r="H24" i="4"/>
  <c r="F24" i="4"/>
  <c r="H23" i="4"/>
  <c r="F23" i="4"/>
  <c r="H22" i="4"/>
  <c r="F22" i="4"/>
  <c r="H21" i="4"/>
  <c r="F21" i="4"/>
  <c r="H20" i="4"/>
  <c r="F20" i="4"/>
  <c r="H19" i="4"/>
  <c r="F19" i="4"/>
  <c r="H18" i="4"/>
  <c r="F18" i="4"/>
  <c r="H17" i="4"/>
  <c r="F17" i="4"/>
  <c r="H16" i="4"/>
  <c r="F16" i="4"/>
  <c r="H15" i="4"/>
  <c r="F15" i="4"/>
  <c r="H14" i="4"/>
  <c r="F14" i="4"/>
  <c r="H13" i="4"/>
  <c r="F13" i="4"/>
  <c r="H12" i="4"/>
  <c r="F12" i="4"/>
  <c r="H11" i="4"/>
  <c r="F11" i="4"/>
  <c r="H10" i="4"/>
  <c r="F10" i="4"/>
  <c r="H9" i="4"/>
  <c r="F9" i="4"/>
  <c r="H8" i="4"/>
  <c r="F8" i="4"/>
  <c r="H7" i="4"/>
  <c r="F7" i="4"/>
  <c r="H6" i="4"/>
  <c r="F6" i="4"/>
  <c r="H5" i="4"/>
  <c r="F5" i="4"/>
  <c r="H4" i="4"/>
  <c r="F4" i="4"/>
  <c r="H3" i="4"/>
  <c r="F3" i="4"/>
  <c r="H2" i="4"/>
  <c r="F2" i="4"/>
  <c r="E512" i="3"/>
  <c r="E511" i="3"/>
  <c r="E510" i="3"/>
  <c r="E509" i="3"/>
  <c r="D512" i="3"/>
  <c r="D511" i="3"/>
  <c r="D510" i="3"/>
  <c r="D509" i="3"/>
  <c r="C512" i="3"/>
  <c r="C511" i="3"/>
  <c r="C510" i="3"/>
  <c r="C509" i="3"/>
  <c r="B509" i="3"/>
  <c r="B512" i="3"/>
  <c r="B511" i="3"/>
  <c r="B510" i="3"/>
  <c r="F510" i="3" s="1"/>
  <c r="H506" i="3"/>
  <c r="H505" i="3"/>
  <c r="H504" i="3"/>
  <c r="H503" i="3"/>
  <c r="H502" i="3"/>
  <c r="H501" i="3"/>
  <c r="H500" i="3"/>
  <c r="H499" i="3"/>
  <c r="H498" i="3"/>
  <c r="H497" i="3"/>
  <c r="H496" i="3"/>
  <c r="H495" i="3"/>
  <c r="H494" i="3"/>
  <c r="H493" i="3"/>
  <c r="H492" i="3"/>
  <c r="H491" i="3"/>
  <c r="H490" i="3"/>
  <c r="H489" i="3"/>
  <c r="H488" i="3"/>
  <c r="H487" i="3"/>
  <c r="H486" i="3"/>
  <c r="H485" i="3"/>
  <c r="H484" i="3"/>
  <c r="H483" i="3"/>
  <c r="H482" i="3"/>
  <c r="H481" i="3"/>
  <c r="H480" i="3"/>
  <c r="H479" i="3"/>
  <c r="H478" i="3"/>
  <c r="H477" i="3"/>
  <c r="H476" i="3"/>
  <c r="H475" i="3"/>
  <c r="H474" i="3"/>
  <c r="H473" i="3"/>
  <c r="H472" i="3"/>
  <c r="H471" i="3"/>
  <c r="H470" i="3"/>
  <c r="H469" i="3"/>
  <c r="H468" i="3"/>
  <c r="H467" i="3"/>
  <c r="H466" i="3"/>
  <c r="H465" i="3"/>
  <c r="H464" i="3"/>
  <c r="H463" i="3"/>
  <c r="H462" i="3"/>
  <c r="H461" i="3"/>
  <c r="H460" i="3"/>
  <c r="H459" i="3"/>
  <c r="H458" i="3"/>
  <c r="H457" i="3"/>
  <c r="H456" i="3"/>
  <c r="H455" i="3"/>
  <c r="H454" i="3"/>
  <c r="H453" i="3"/>
  <c r="H452" i="3"/>
  <c r="H451" i="3"/>
  <c r="H450" i="3"/>
  <c r="H449" i="3"/>
  <c r="H448" i="3"/>
  <c r="H447" i="3"/>
  <c r="H446" i="3"/>
  <c r="H445" i="3"/>
  <c r="H444" i="3"/>
  <c r="H443" i="3"/>
  <c r="H442" i="3"/>
  <c r="H441" i="3"/>
  <c r="H440" i="3"/>
  <c r="H439" i="3"/>
  <c r="H438" i="3"/>
  <c r="H437" i="3"/>
  <c r="H436" i="3"/>
  <c r="H435" i="3"/>
  <c r="H434" i="3"/>
  <c r="H433" i="3"/>
  <c r="H432" i="3"/>
  <c r="H431" i="3"/>
  <c r="H430" i="3"/>
  <c r="H429" i="3"/>
  <c r="H428" i="3"/>
  <c r="H427" i="3"/>
  <c r="H426" i="3"/>
  <c r="H425" i="3"/>
  <c r="H424" i="3"/>
  <c r="H423" i="3"/>
  <c r="H422" i="3"/>
  <c r="H421" i="3"/>
  <c r="H420" i="3"/>
  <c r="H419" i="3"/>
  <c r="H418" i="3"/>
  <c r="H417" i="3"/>
  <c r="H416" i="3"/>
  <c r="H415" i="3"/>
  <c r="H414" i="3"/>
  <c r="H413" i="3"/>
  <c r="H412" i="3"/>
  <c r="H411" i="3"/>
  <c r="H410" i="3"/>
  <c r="H409" i="3"/>
  <c r="H408" i="3"/>
  <c r="H407" i="3"/>
  <c r="H406" i="3"/>
  <c r="H405" i="3"/>
  <c r="H404" i="3"/>
  <c r="H403" i="3"/>
  <c r="H402" i="3"/>
  <c r="H401" i="3"/>
  <c r="H400" i="3"/>
  <c r="H399" i="3"/>
  <c r="H398" i="3"/>
  <c r="H397" i="3"/>
  <c r="H396" i="3"/>
  <c r="H395" i="3"/>
  <c r="H394" i="3"/>
  <c r="H393" i="3"/>
  <c r="H392" i="3"/>
  <c r="H391" i="3"/>
  <c r="H390" i="3"/>
  <c r="H389" i="3"/>
  <c r="H388" i="3"/>
  <c r="H387" i="3"/>
  <c r="H386" i="3"/>
  <c r="H385" i="3"/>
  <c r="H384" i="3"/>
  <c r="H383" i="3"/>
  <c r="H382" i="3"/>
  <c r="H381" i="3"/>
  <c r="H380" i="3"/>
  <c r="H379" i="3"/>
  <c r="H378" i="3"/>
  <c r="H377" i="3"/>
  <c r="H376" i="3"/>
  <c r="H375" i="3"/>
  <c r="H374" i="3"/>
  <c r="H373" i="3"/>
  <c r="H372" i="3"/>
  <c r="H371" i="3"/>
  <c r="H370" i="3"/>
  <c r="H369" i="3"/>
  <c r="H368" i="3"/>
  <c r="H367" i="3"/>
  <c r="H366" i="3"/>
  <c r="H365" i="3"/>
  <c r="H364" i="3"/>
  <c r="H363" i="3"/>
  <c r="H362" i="3"/>
  <c r="H361" i="3"/>
  <c r="H360" i="3"/>
  <c r="H359" i="3"/>
  <c r="H358" i="3"/>
  <c r="H357" i="3"/>
  <c r="H356" i="3"/>
  <c r="H355" i="3"/>
  <c r="H354" i="3"/>
  <c r="H353" i="3"/>
  <c r="H352" i="3"/>
  <c r="H351" i="3"/>
  <c r="H350" i="3"/>
  <c r="H349" i="3"/>
  <c r="H348" i="3"/>
  <c r="H347" i="3"/>
  <c r="H346" i="3"/>
  <c r="H345" i="3"/>
  <c r="H344" i="3"/>
  <c r="H343" i="3"/>
  <c r="H342" i="3"/>
  <c r="H341" i="3"/>
  <c r="H340" i="3"/>
  <c r="H339" i="3"/>
  <c r="H338" i="3"/>
  <c r="H337" i="3"/>
  <c r="H336" i="3"/>
  <c r="H335" i="3"/>
  <c r="H334" i="3"/>
  <c r="H333" i="3"/>
  <c r="H332" i="3"/>
  <c r="H331" i="3"/>
  <c r="H330" i="3"/>
  <c r="H329" i="3"/>
  <c r="H328" i="3"/>
  <c r="H327" i="3"/>
  <c r="H326" i="3"/>
  <c r="H325" i="3"/>
  <c r="H324" i="3"/>
  <c r="H323" i="3"/>
  <c r="H322" i="3"/>
  <c r="H321" i="3"/>
  <c r="H320" i="3"/>
  <c r="H319" i="3"/>
  <c r="H318" i="3"/>
  <c r="H317" i="3"/>
  <c r="H316" i="3"/>
  <c r="H315" i="3"/>
  <c r="H314" i="3"/>
  <c r="H313" i="3"/>
  <c r="H312" i="3"/>
  <c r="H311" i="3"/>
  <c r="H310" i="3"/>
  <c r="H309" i="3"/>
  <c r="H308" i="3"/>
  <c r="H307" i="3"/>
  <c r="H306" i="3"/>
  <c r="H305" i="3"/>
  <c r="H304" i="3"/>
  <c r="H303" i="3"/>
  <c r="H302" i="3"/>
  <c r="H301" i="3"/>
  <c r="H300" i="3"/>
  <c r="H299" i="3"/>
  <c r="H298" i="3"/>
  <c r="H297" i="3"/>
  <c r="H296" i="3"/>
  <c r="H295" i="3"/>
  <c r="H294" i="3"/>
  <c r="H293" i="3"/>
  <c r="H292" i="3"/>
  <c r="H291" i="3"/>
  <c r="H290" i="3"/>
  <c r="H289" i="3"/>
  <c r="H288" i="3"/>
  <c r="H287" i="3"/>
  <c r="H286" i="3"/>
  <c r="H285" i="3"/>
  <c r="H284" i="3"/>
  <c r="H283" i="3"/>
  <c r="H282" i="3"/>
  <c r="H281" i="3"/>
  <c r="H280" i="3"/>
  <c r="H279" i="3"/>
  <c r="H278" i="3"/>
  <c r="H277" i="3"/>
  <c r="H276" i="3"/>
  <c r="H275" i="3"/>
  <c r="H274" i="3"/>
  <c r="H273" i="3"/>
  <c r="H272" i="3"/>
  <c r="H271" i="3"/>
  <c r="H270" i="3"/>
  <c r="H269" i="3"/>
  <c r="H268" i="3"/>
  <c r="H267" i="3"/>
  <c r="F506" i="3"/>
  <c r="F371" i="3"/>
  <c r="F372" i="3"/>
  <c r="G372" i="3" s="1"/>
  <c r="F373" i="3"/>
  <c r="F374" i="3"/>
  <c r="G374" i="3" s="1"/>
  <c r="F375" i="3"/>
  <c r="G375" i="3" s="1"/>
  <c r="F376" i="3"/>
  <c r="F377" i="3"/>
  <c r="F378" i="3"/>
  <c r="G378" i="3" s="1"/>
  <c r="F379" i="3"/>
  <c r="F380" i="3"/>
  <c r="F381" i="3"/>
  <c r="F382" i="3"/>
  <c r="G382" i="3" s="1"/>
  <c r="F383" i="3"/>
  <c r="F384" i="3"/>
  <c r="F385" i="3"/>
  <c r="G385" i="3" s="1"/>
  <c r="F386" i="3"/>
  <c r="G386" i="3" s="1"/>
  <c r="F387" i="3"/>
  <c r="F388" i="3"/>
  <c r="F389" i="3"/>
  <c r="F390" i="3"/>
  <c r="F391" i="3"/>
  <c r="F392" i="3"/>
  <c r="G392" i="3" s="1"/>
  <c r="F393" i="3"/>
  <c r="F394" i="3"/>
  <c r="F395" i="3"/>
  <c r="G395" i="3" s="1"/>
  <c r="F396" i="3"/>
  <c r="G396" i="3" s="1"/>
  <c r="F397" i="3"/>
  <c r="F398" i="3"/>
  <c r="F399" i="3"/>
  <c r="F400" i="3"/>
  <c r="F401" i="3"/>
  <c r="F402" i="3"/>
  <c r="G402" i="3" s="1"/>
  <c r="F403" i="3"/>
  <c r="F404" i="3"/>
  <c r="F405" i="3"/>
  <c r="G405" i="3" s="1"/>
  <c r="F406" i="3"/>
  <c r="G406" i="3" s="1"/>
  <c r="F407" i="3"/>
  <c r="F408" i="3"/>
  <c r="F409" i="3"/>
  <c r="F410" i="3"/>
  <c r="F411" i="3"/>
  <c r="F412" i="3"/>
  <c r="G412" i="3" s="1"/>
  <c r="F413" i="3"/>
  <c r="F414" i="3"/>
  <c r="F415" i="3"/>
  <c r="G415" i="3" s="1"/>
  <c r="F416" i="3"/>
  <c r="G416" i="3" s="1"/>
  <c r="F417" i="3"/>
  <c r="F418" i="3"/>
  <c r="F419" i="3"/>
  <c r="F420" i="3"/>
  <c r="F421" i="3"/>
  <c r="F422" i="3"/>
  <c r="G422" i="3" s="1"/>
  <c r="F423" i="3"/>
  <c r="F424" i="3"/>
  <c r="F425" i="3"/>
  <c r="G425" i="3" s="1"/>
  <c r="F426" i="3"/>
  <c r="G426" i="3" s="1"/>
  <c r="F427" i="3"/>
  <c r="F428" i="3"/>
  <c r="F429" i="3"/>
  <c r="F430" i="3"/>
  <c r="F431" i="3"/>
  <c r="F432" i="3"/>
  <c r="G432" i="3" s="1"/>
  <c r="F433" i="3"/>
  <c r="F434" i="3"/>
  <c r="F435" i="3"/>
  <c r="G435" i="3" s="1"/>
  <c r="F436" i="3"/>
  <c r="G436" i="3" s="1"/>
  <c r="F437" i="3"/>
  <c r="F438" i="3"/>
  <c r="F439" i="3"/>
  <c r="F440" i="3"/>
  <c r="F441" i="3"/>
  <c r="F442" i="3"/>
  <c r="G442" i="3" s="1"/>
  <c r="F443" i="3"/>
  <c r="F444" i="3"/>
  <c r="F445" i="3"/>
  <c r="G445" i="3" s="1"/>
  <c r="F446" i="3"/>
  <c r="G446" i="3" s="1"/>
  <c r="F447" i="3"/>
  <c r="F448" i="3"/>
  <c r="F449" i="3"/>
  <c r="G449" i="3" s="1"/>
  <c r="F450" i="3"/>
  <c r="F451" i="3"/>
  <c r="F452" i="3"/>
  <c r="G452" i="3" s="1"/>
  <c r="F453" i="3"/>
  <c r="F454" i="3"/>
  <c r="F455" i="3"/>
  <c r="G455" i="3" s="1"/>
  <c r="F456" i="3"/>
  <c r="G456" i="3" s="1"/>
  <c r="F457" i="3"/>
  <c r="F458" i="3"/>
  <c r="F459" i="3"/>
  <c r="G459" i="3" s="1"/>
  <c r="F460" i="3"/>
  <c r="F461" i="3"/>
  <c r="F462" i="3"/>
  <c r="G462" i="3" s="1"/>
  <c r="F463" i="3"/>
  <c r="F464" i="3"/>
  <c r="F465" i="3"/>
  <c r="G465" i="3" s="1"/>
  <c r="F466" i="3"/>
  <c r="G466" i="3" s="1"/>
  <c r="F467" i="3"/>
  <c r="F468" i="3"/>
  <c r="F469" i="3"/>
  <c r="G469" i="3" s="1"/>
  <c r="F470" i="3"/>
  <c r="F471" i="3"/>
  <c r="F472" i="3"/>
  <c r="G472" i="3" s="1"/>
  <c r="F473" i="3"/>
  <c r="F474" i="3"/>
  <c r="F475" i="3"/>
  <c r="G475" i="3" s="1"/>
  <c r="F476" i="3"/>
  <c r="G476" i="3" s="1"/>
  <c r="F477" i="3"/>
  <c r="F478" i="3"/>
  <c r="F479" i="3"/>
  <c r="G479" i="3" s="1"/>
  <c r="F480" i="3"/>
  <c r="F481" i="3"/>
  <c r="F482" i="3"/>
  <c r="G482" i="3" s="1"/>
  <c r="F483" i="3"/>
  <c r="F484" i="3"/>
  <c r="F485" i="3"/>
  <c r="G485" i="3" s="1"/>
  <c r="F486" i="3"/>
  <c r="G486" i="3" s="1"/>
  <c r="F487" i="3"/>
  <c r="F488" i="3"/>
  <c r="F489" i="3"/>
  <c r="G489" i="3" s="1"/>
  <c r="F490" i="3"/>
  <c r="F491" i="3"/>
  <c r="F492" i="3"/>
  <c r="G492" i="3" s="1"/>
  <c r="F493" i="3"/>
  <c r="F494" i="3"/>
  <c r="F495" i="3"/>
  <c r="G495" i="3" s="1"/>
  <c r="F496" i="3"/>
  <c r="G496" i="3" s="1"/>
  <c r="F497" i="3"/>
  <c r="F498" i="3"/>
  <c r="F499" i="3"/>
  <c r="G499" i="3" s="1"/>
  <c r="F500" i="3"/>
  <c r="F501" i="3"/>
  <c r="F502" i="3"/>
  <c r="G502" i="3" s="1"/>
  <c r="F503" i="3"/>
  <c r="F504" i="3"/>
  <c r="F505" i="3"/>
  <c r="G505" i="3" s="1"/>
  <c r="F345" i="3"/>
  <c r="F346" i="3"/>
  <c r="F347" i="3"/>
  <c r="G347" i="3" s="1"/>
  <c r="F348" i="3"/>
  <c r="G348" i="3" s="1"/>
  <c r="F349" i="3"/>
  <c r="G349" i="3" s="1"/>
  <c r="F350" i="3"/>
  <c r="G350" i="3" s="1"/>
  <c r="F351" i="3"/>
  <c r="F352" i="3"/>
  <c r="F353" i="3"/>
  <c r="F354" i="3"/>
  <c r="F355" i="3"/>
  <c r="F356" i="3"/>
  <c r="F357" i="3"/>
  <c r="G357" i="3" s="1"/>
  <c r="F358" i="3"/>
  <c r="G358" i="3" s="1"/>
  <c r="F359" i="3"/>
  <c r="G359" i="3" s="1"/>
  <c r="F360" i="3"/>
  <c r="G360" i="3" s="1"/>
  <c r="F361" i="3"/>
  <c r="F362" i="3"/>
  <c r="G362" i="3" s="1"/>
  <c r="F363" i="3"/>
  <c r="F364" i="3"/>
  <c r="F365" i="3"/>
  <c r="F366" i="3"/>
  <c r="F367" i="3"/>
  <c r="G367" i="3" s="1"/>
  <c r="F368" i="3"/>
  <c r="G368" i="3" s="1"/>
  <c r="F369" i="3"/>
  <c r="G369" i="3" s="1"/>
  <c r="F370" i="3"/>
  <c r="G370" i="3" s="1"/>
  <c r="F320" i="3"/>
  <c r="G320" i="3" s="1"/>
  <c r="F321" i="3"/>
  <c r="F322" i="3"/>
  <c r="F323" i="3"/>
  <c r="G323" i="3" s="1"/>
  <c r="F324" i="3"/>
  <c r="F325" i="3"/>
  <c r="F326" i="3"/>
  <c r="F327" i="3"/>
  <c r="F328" i="3"/>
  <c r="G328" i="3" s="1"/>
  <c r="F329" i="3"/>
  <c r="G329" i="3" s="1"/>
  <c r="F330" i="3"/>
  <c r="G330" i="3" s="1"/>
  <c r="F331" i="3"/>
  <c r="F332" i="3"/>
  <c r="F333" i="3"/>
  <c r="G333" i="3" s="1"/>
  <c r="F334" i="3"/>
  <c r="F335" i="3"/>
  <c r="F336" i="3"/>
  <c r="F337" i="3"/>
  <c r="F338" i="3"/>
  <c r="G338" i="3" s="1"/>
  <c r="F339" i="3"/>
  <c r="G339" i="3" s="1"/>
  <c r="F340" i="3"/>
  <c r="G340" i="3" s="1"/>
  <c r="F341" i="3"/>
  <c r="F342" i="3"/>
  <c r="F343" i="3"/>
  <c r="G343" i="3" s="1"/>
  <c r="F344" i="3"/>
  <c r="G344" i="3" s="1"/>
  <c r="F285" i="3"/>
  <c r="F286" i="3"/>
  <c r="F287" i="3"/>
  <c r="F288" i="3"/>
  <c r="G288" i="3" s="1"/>
  <c r="F289" i="3"/>
  <c r="G289" i="3" s="1"/>
  <c r="F290" i="3"/>
  <c r="G290" i="3" s="1"/>
  <c r="F291" i="3"/>
  <c r="G291" i="3" s="1"/>
  <c r="F292" i="3"/>
  <c r="G292" i="3" s="1"/>
  <c r="F293" i="3"/>
  <c r="F294" i="3"/>
  <c r="F295" i="3"/>
  <c r="F296" i="3"/>
  <c r="F297" i="3"/>
  <c r="F298" i="3"/>
  <c r="G298" i="3" s="1"/>
  <c r="F299" i="3"/>
  <c r="G299" i="3" s="1"/>
  <c r="F300" i="3"/>
  <c r="G300" i="3" s="1"/>
  <c r="F301" i="3"/>
  <c r="G301" i="3" s="1"/>
  <c r="F302" i="3"/>
  <c r="G302" i="3" s="1"/>
  <c r="F303" i="3"/>
  <c r="F304" i="3"/>
  <c r="F305" i="3"/>
  <c r="F306" i="3"/>
  <c r="F307" i="3"/>
  <c r="F308" i="3"/>
  <c r="G308" i="3" s="1"/>
  <c r="F309" i="3"/>
  <c r="G309" i="3" s="1"/>
  <c r="F310" i="3"/>
  <c r="G310" i="3" s="1"/>
  <c r="F311" i="3"/>
  <c r="G311" i="3" s="1"/>
  <c r="F312" i="3"/>
  <c r="G312" i="3" s="1"/>
  <c r="F313" i="3"/>
  <c r="F314" i="3"/>
  <c r="F315" i="3"/>
  <c r="F316" i="3"/>
  <c r="F317" i="3"/>
  <c r="F318" i="3"/>
  <c r="G318" i="3" s="1"/>
  <c r="F319" i="3"/>
  <c r="G319" i="3" s="1"/>
  <c r="F269" i="3"/>
  <c r="F270" i="3"/>
  <c r="F271" i="3"/>
  <c r="F272" i="3"/>
  <c r="F273" i="3"/>
  <c r="G273" i="3" s="1"/>
  <c r="F274" i="3"/>
  <c r="G274" i="3" s="1"/>
  <c r="F275" i="3"/>
  <c r="G275" i="3" s="1"/>
  <c r="F276" i="3"/>
  <c r="G276" i="3" s="1"/>
  <c r="F277" i="3"/>
  <c r="F278" i="3"/>
  <c r="F279" i="3"/>
  <c r="F280" i="3"/>
  <c r="F281" i="3"/>
  <c r="F282" i="3"/>
  <c r="F283" i="3"/>
  <c r="G283" i="3" s="1"/>
  <c r="F284" i="3"/>
  <c r="G284" i="3" s="1"/>
  <c r="F268" i="3"/>
  <c r="G268" i="3" s="1"/>
  <c r="F267" i="3"/>
  <c r="G506" i="3"/>
  <c r="G504" i="3"/>
  <c r="G503" i="3"/>
  <c r="G501" i="3"/>
  <c r="G500" i="3"/>
  <c r="G498" i="3"/>
  <c r="G497" i="3"/>
  <c r="G494" i="3"/>
  <c r="G493" i="3"/>
  <c r="G491" i="3"/>
  <c r="G490" i="3"/>
  <c r="G488" i="3"/>
  <c r="G487" i="3"/>
  <c r="G484" i="3"/>
  <c r="G483" i="3"/>
  <c r="G481" i="3"/>
  <c r="G480" i="3"/>
  <c r="G478" i="3"/>
  <c r="G477" i="3"/>
  <c r="G474" i="3"/>
  <c r="G473" i="3"/>
  <c r="G471" i="3"/>
  <c r="G470" i="3"/>
  <c r="G468" i="3"/>
  <c r="G467" i="3"/>
  <c r="G464" i="3"/>
  <c r="G463" i="3"/>
  <c r="G461" i="3"/>
  <c r="G460" i="3"/>
  <c r="G458" i="3"/>
  <c r="G457" i="3"/>
  <c r="G454" i="3"/>
  <c r="G453" i="3"/>
  <c r="G451" i="3"/>
  <c r="G450" i="3"/>
  <c r="G448" i="3"/>
  <c r="G447" i="3"/>
  <c r="G444" i="3"/>
  <c r="G443" i="3"/>
  <c r="G441" i="3"/>
  <c r="G440" i="3"/>
  <c r="G439" i="3"/>
  <c r="G438" i="3"/>
  <c r="G437" i="3"/>
  <c r="G434" i="3"/>
  <c r="G433" i="3"/>
  <c r="G431" i="3"/>
  <c r="G430" i="3"/>
  <c r="G429" i="3"/>
  <c r="G428" i="3"/>
  <c r="G427" i="3"/>
  <c r="G424" i="3"/>
  <c r="G423" i="3"/>
  <c r="G421" i="3"/>
  <c r="G420" i="3"/>
  <c r="G419" i="3"/>
  <c r="G418" i="3"/>
  <c r="G417" i="3"/>
  <c r="G414" i="3"/>
  <c r="G413" i="3"/>
  <c r="G411" i="3"/>
  <c r="G410" i="3"/>
  <c r="G409" i="3"/>
  <c r="G408" i="3"/>
  <c r="G407" i="3"/>
  <c r="G404" i="3"/>
  <c r="G403" i="3"/>
  <c r="G401" i="3"/>
  <c r="G400" i="3"/>
  <c r="G399" i="3"/>
  <c r="G398" i="3"/>
  <c r="G397" i="3"/>
  <c r="G394" i="3"/>
  <c r="G393" i="3"/>
  <c r="G391" i="3"/>
  <c r="G390" i="3"/>
  <c r="G389" i="3"/>
  <c r="G388" i="3"/>
  <c r="G387" i="3"/>
  <c r="G384" i="3"/>
  <c r="G383" i="3"/>
  <c r="G381" i="3"/>
  <c r="G380" i="3"/>
  <c r="G379" i="3"/>
  <c r="G377" i="3"/>
  <c r="G376" i="3"/>
  <c r="G373" i="3"/>
  <c r="G371" i="3"/>
  <c r="G366" i="3"/>
  <c r="G365" i="3"/>
  <c r="G364" i="3"/>
  <c r="G363" i="3"/>
  <c r="G361" i="3"/>
  <c r="G356" i="3"/>
  <c r="G355" i="3"/>
  <c r="G354" i="3"/>
  <c r="G353" i="3"/>
  <c r="G352" i="3"/>
  <c r="G351" i="3"/>
  <c r="G346" i="3"/>
  <c r="G345" i="3"/>
  <c r="G342" i="3"/>
  <c r="G341" i="3"/>
  <c r="G337" i="3"/>
  <c r="G336" i="3"/>
  <c r="G335" i="3"/>
  <c r="G334" i="3"/>
  <c r="G332" i="3"/>
  <c r="G331" i="3"/>
  <c r="G327" i="3"/>
  <c r="G326" i="3"/>
  <c r="G325" i="3"/>
  <c r="G324" i="3"/>
  <c r="G322" i="3"/>
  <c r="G321" i="3"/>
  <c r="G317" i="3"/>
  <c r="G316" i="3"/>
  <c r="G315" i="3"/>
  <c r="G314" i="3"/>
  <c r="G313" i="3"/>
  <c r="G307" i="3"/>
  <c r="G306" i="3"/>
  <c r="G305" i="3"/>
  <c r="G304" i="3"/>
  <c r="G303" i="3"/>
  <c r="G297" i="3"/>
  <c r="G296" i="3"/>
  <c r="G295" i="3"/>
  <c r="G294" i="3"/>
  <c r="G293" i="3"/>
  <c r="G287" i="3"/>
  <c r="G286" i="3"/>
  <c r="G285" i="3"/>
  <c r="G282" i="3"/>
  <c r="G281" i="3"/>
  <c r="G280" i="3"/>
  <c r="G279" i="3"/>
  <c r="G278" i="3"/>
  <c r="G277" i="3"/>
  <c r="G272" i="3"/>
  <c r="G271" i="3"/>
  <c r="G270" i="3"/>
  <c r="G269" i="3"/>
  <c r="G267" i="3"/>
  <c r="C260" i="3"/>
  <c r="C261" i="3"/>
  <c r="C262" i="3"/>
  <c r="C259" i="3"/>
  <c r="B260" i="3"/>
  <c r="B261" i="3"/>
  <c r="B262" i="3"/>
  <c r="D262" i="3" s="1"/>
  <c r="B259" i="3"/>
  <c r="D261" i="3"/>
  <c r="D259" i="3"/>
  <c r="C255" i="3"/>
  <c r="C254" i="3"/>
  <c r="E254" i="3" s="1"/>
  <c r="C253" i="3"/>
  <c r="E253" i="3" s="1"/>
  <c r="C252" i="3"/>
  <c r="C251" i="3"/>
  <c r="C250" i="3"/>
  <c r="C245" i="3"/>
  <c r="E245" i="3" s="1"/>
  <c r="E251" i="3"/>
  <c r="E252" i="3"/>
  <c r="E255" i="3"/>
  <c r="C249" i="3"/>
  <c r="E249" i="3" s="1"/>
  <c r="C248" i="3"/>
  <c r="E248" i="3" s="1"/>
  <c r="C247" i="3"/>
  <c r="E247" i="3" s="1"/>
  <c r="C246" i="3"/>
  <c r="E246" i="3" s="1"/>
  <c r="C244" i="3"/>
  <c r="F255" i="3"/>
  <c r="F254" i="3"/>
  <c r="F253" i="3"/>
  <c r="F252" i="3"/>
  <c r="F251" i="3"/>
  <c r="F250" i="3"/>
  <c r="E250" i="3"/>
  <c r="F249" i="3"/>
  <c r="F248" i="3"/>
  <c r="F247" i="3"/>
  <c r="F246" i="3"/>
  <c r="F245" i="3"/>
  <c r="F244" i="3"/>
  <c r="E244" i="3"/>
  <c r="H241" i="3"/>
  <c r="F241" i="3"/>
  <c r="H240" i="3"/>
  <c r="F240" i="3"/>
  <c r="H239" i="3"/>
  <c r="F239" i="3"/>
  <c r="H238" i="3"/>
  <c r="F238" i="3"/>
  <c r="H237" i="3"/>
  <c r="F237" i="3"/>
  <c r="H236" i="3"/>
  <c r="F236" i="3"/>
  <c r="H235" i="3"/>
  <c r="F235" i="3"/>
  <c r="H234" i="3"/>
  <c r="F234" i="3"/>
  <c r="H233" i="3"/>
  <c r="F233" i="3"/>
  <c r="H232" i="3"/>
  <c r="F232" i="3"/>
  <c r="H231" i="3"/>
  <c r="F231" i="3"/>
  <c r="H230" i="3"/>
  <c r="F230" i="3"/>
  <c r="H229" i="3"/>
  <c r="F229" i="3"/>
  <c r="H228" i="3"/>
  <c r="F228" i="3"/>
  <c r="H227" i="3"/>
  <c r="F227" i="3"/>
  <c r="H226" i="3"/>
  <c r="F226" i="3"/>
  <c r="H225" i="3"/>
  <c r="F225" i="3"/>
  <c r="H224" i="3"/>
  <c r="F224" i="3"/>
  <c r="H223" i="3"/>
  <c r="F223" i="3"/>
  <c r="H222" i="3"/>
  <c r="F222" i="3"/>
  <c r="H221" i="3"/>
  <c r="F221" i="3"/>
  <c r="H220" i="3"/>
  <c r="F220" i="3"/>
  <c r="H219" i="3"/>
  <c r="F219" i="3"/>
  <c r="H218" i="3"/>
  <c r="F218" i="3"/>
  <c r="H217" i="3"/>
  <c r="F217" i="3"/>
  <c r="H216" i="3"/>
  <c r="F216" i="3"/>
  <c r="H215" i="3"/>
  <c r="F215" i="3"/>
  <c r="H214" i="3"/>
  <c r="F214" i="3"/>
  <c r="H213" i="3"/>
  <c r="F213" i="3"/>
  <c r="H212" i="3"/>
  <c r="F212" i="3"/>
  <c r="H211" i="3"/>
  <c r="F211" i="3"/>
  <c r="H210" i="3"/>
  <c r="F210" i="3"/>
  <c r="H209" i="3"/>
  <c r="F209" i="3"/>
  <c r="H208" i="3"/>
  <c r="F208" i="3"/>
  <c r="H207" i="3"/>
  <c r="F207" i="3"/>
  <c r="H206" i="3"/>
  <c r="F206" i="3"/>
  <c r="H205" i="3"/>
  <c r="F205" i="3"/>
  <c r="H204" i="3"/>
  <c r="F204" i="3"/>
  <c r="H203" i="3"/>
  <c r="F203" i="3"/>
  <c r="H202" i="3"/>
  <c r="F202" i="3"/>
  <c r="H201" i="3"/>
  <c r="F201" i="3"/>
  <c r="H200" i="3"/>
  <c r="F200" i="3"/>
  <c r="H199" i="3"/>
  <c r="F199" i="3"/>
  <c r="H198" i="3"/>
  <c r="F198" i="3"/>
  <c r="H197" i="3"/>
  <c r="F197" i="3"/>
  <c r="H196" i="3"/>
  <c r="F196" i="3"/>
  <c r="H195" i="3"/>
  <c r="F195" i="3"/>
  <c r="H194" i="3"/>
  <c r="F194" i="3"/>
  <c r="H193" i="3"/>
  <c r="F193" i="3"/>
  <c r="H192" i="3"/>
  <c r="F192" i="3"/>
  <c r="H191" i="3"/>
  <c r="F191" i="3"/>
  <c r="H190" i="3"/>
  <c r="F190" i="3"/>
  <c r="H189" i="3"/>
  <c r="F189" i="3"/>
  <c r="H188" i="3"/>
  <c r="F188" i="3"/>
  <c r="H187" i="3"/>
  <c r="F187" i="3"/>
  <c r="H186" i="3"/>
  <c r="F186" i="3"/>
  <c r="H185" i="3"/>
  <c r="F185" i="3"/>
  <c r="H184" i="3"/>
  <c r="F184" i="3"/>
  <c r="H183" i="3"/>
  <c r="F183" i="3"/>
  <c r="H182" i="3"/>
  <c r="F182" i="3"/>
  <c r="H181" i="3"/>
  <c r="F181" i="3"/>
  <c r="H180" i="3"/>
  <c r="F180" i="3"/>
  <c r="H179" i="3"/>
  <c r="F179" i="3"/>
  <c r="H178" i="3"/>
  <c r="F178" i="3"/>
  <c r="H177" i="3"/>
  <c r="F177" i="3"/>
  <c r="H176" i="3"/>
  <c r="F176" i="3"/>
  <c r="H175" i="3"/>
  <c r="F175" i="3"/>
  <c r="H174" i="3"/>
  <c r="F174" i="3"/>
  <c r="H173" i="3"/>
  <c r="F173" i="3"/>
  <c r="H172" i="3"/>
  <c r="F172" i="3"/>
  <c r="H171" i="3"/>
  <c r="F171" i="3"/>
  <c r="H170" i="3"/>
  <c r="F170" i="3"/>
  <c r="H169" i="3"/>
  <c r="F169" i="3"/>
  <c r="H168" i="3"/>
  <c r="F168" i="3"/>
  <c r="H167" i="3"/>
  <c r="F167" i="3"/>
  <c r="H166" i="3"/>
  <c r="F166" i="3"/>
  <c r="H165" i="3"/>
  <c r="F165" i="3"/>
  <c r="H164" i="3"/>
  <c r="F164" i="3"/>
  <c r="H163" i="3"/>
  <c r="F163" i="3"/>
  <c r="H162" i="3"/>
  <c r="F162" i="3"/>
  <c r="H161" i="3"/>
  <c r="F161" i="3"/>
  <c r="H160" i="3"/>
  <c r="F160" i="3"/>
  <c r="H159" i="3"/>
  <c r="F159" i="3"/>
  <c r="H158" i="3"/>
  <c r="F158" i="3"/>
  <c r="H157" i="3"/>
  <c r="F157" i="3"/>
  <c r="H156" i="3"/>
  <c r="F156" i="3"/>
  <c r="H155" i="3"/>
  <c r="F155" i="3"/>
  <c r="H154" i="3"/>
  <c r="F154" i="3"/>
  <c r="H153" i="3"/>
  <c r="F153" i="3"/>
  <c r="H152" i="3"/>
  <c r="F152" i="3"/>
  <c r="H151" i="3"/>
  <c r="F151" i="3"/>
  <c r="H150" i="3"/>
  <c r="F150" i="3"/>
  <c r="H149" i="3"/>
  <c r="F149" i="3"/>
  <c r="H148" i="3"/>
  <c r="F148" i="3"/>
  <c r="H147" i="3"/>
  <c r="F147" i="3"/>
  <c r="H146" i="3"/>
  <c r="F146" i="3"/>
  <c r="H145" i="3"/>
  <c r="F145" i="3"/>
  <c r="H144" i="3"/>
  <c r="F144" i="3"/>
  <c r="H143" i="3"/>
  <c r="F143" i="3"/>
  <c r="H142" i="3"/>
  <c r="F142" i="3"/>
  <c r="H141" i="3"/>
  <c r="F141" i="3"/>
  <c r="H140" i="3"/>
  <c r="F140" i="3"/>
  <c r="H139" i="3"/>
  <c r="F139" i="3"/>
  <c r="H138" i="3"/>
  <c r="F138" i="3"/>
  <c r="H137" i="3"/>
  <c r="F137" i="3"/>
  <c r="H136" i="3"/>
  <c r="F136" i="3"/>
  <c r="H135" i="3"/>
  <c r="F135" i="3"/>
  <c r="H134" i="3"/>
  <c r="F134" i="3"/>
  <c r="H133" i="3"/>
  <c r="F133" i="3"/>
  <c r="H132" i="3"/>
  <c r="F132" i="3"/>
  <c r="H131" i="3"/>
  <c r="F131" i="3"/>
  <c r="H130" i="3"/>
  <c r="F130" i="3"/>
  <c r="H129" i="3"/>
  <c r="F129" i="3"/>
  <c r="H128" i="3"/>
  <c r="F128" i="3"/>
  <c r="H127" i="3"/>
  <c r="F127" i="3"/>
  <c r="H126" i="3"/>
  <c r="F126" i="3"/>
  <c r="H125" i="3"/>
  <c r="F125" i="3"/>
  <c r="H124" i="3"/>
  <c r="F124" i="3"/>
  <c r="H123" i="3"/>
  <c r="F123" i="3"/>
  <c r="H122" i="3"/>
  <c r="F122" i="3"/>
  <c r="H121" i="3"/>
  <c r="F121" i="3"/>
  <c r="H120" i="3"/>
  <c r="F120" i="3"/>
  <c r="H119" i="3"/>
  <c r="F119" i="3"/>
  <c r="H118" i="3"/>
  <c r="F118" i="3"/>
  <c r="H117" i="3"/>
  <c r="F117" i="3"/>
  <c r="H116" i="3"/>
  <c r="F116" i="3"/>
  <c r="H115" i="3"/>
  <c r="F115" i="3"/>
  <c r="H114" i="3"/>
  <c r="F114" i="3"/>
  <c r="H113" i="3"/>
  <c r="F113" i="3"/>
  <c r="H112" i="3"/>
  <c r="F112" i="3"/>
  <c r="H111" i="3"/>
  <c r="F111" i="3"/>
  <c r="H110" i="3"/>
  <c r="F110" i="3"/>
  <c r="H109" i="3"/>
  <c r="F109" i="3"/>
  <c r="H108" i="3"/>
  <c r="F108" i="3"/>
  <c r="H107" i="3"/>
  <c r="F107" i="3"/>
  <c r="H106" i="3"/>
  <c r="F106" i="3"/>
  <c r="H105" i="3"/>
  <c r="F105" i="3"/>
  <c r="H104" i="3"/>
  <c r="F104" i="3"/>
  <c r="H103" i="3"/>
  <c r="F103" i="3"/>
  <c r="H102" i="3"/>
  <c r="F102" i="3"/>
  <c r="H101" i="3"/>
  <c r="F101" i="3"/>
  <c r="H100" i="3"/>
  <c r="F100" i="3"/>
  <c r="H99" i="3"/>
  <c r="F99" i="3"/>
  <c r="H98" i="3"/>
  <c r="F98" i="3"/>
  <c r="H97" i="3"/>
  <c r="F97" i="3"/>
  <c r="H96" i="3"/>
  <c r="F96" i="3"/>
  <c r="H95" i="3"/>
  <c r="F95" i="3"/>
  <c r="H94" i="3"/>
  <c r="F94" i="3"/>
  <c r="H93" i="3"/>
  <c r="F93" i="3"/>
  <c r="H92" i="3"/>
  <c r="F92" i="3"/>
  <c r="H91" i="3"/>
  <c r="F91" i="3"/>
  <c r="H90" i="3"/>
  <c r="F90" i="3"/>
  <c r="H89" i="3"/>
  <c r="F89" i="3"/>
  <c r="H88" i="3"/>
  <c r="F88" i="3"/>
  <c r="H87" i="3"/>
  <c r="F87" i="3"/>
  <c r="H86" i="3"/>
  <c r="F86" i="3"/>
  <c r="H85" i="3"/>
  <c r="F85" i="3"/>
  <c r="H84" i="3"/>
  <c r="F84" i="3"/>
  <c r="H83" i="3"/>
  <c r="F83" i="3"/>
  <c r="H82" i="3"/>
  <c r="F82" i="3"/>
  <c r="H81" i="3"/>
  <c r="F81" i="3"/>
  <c r="H80" i="3"/>
  <c r="F80" i="3"/>
  <c r="H79" i="3"/>
  <c r="F79" i="3"/>
  <c r="H78" i="3"/>
  <c r="F78" i="3"/>
  <c r="H77" i="3"/>
  <c r="F77" i="3"/>
  <c r="H76" i="3"/>
  <c r="F76" i="3"/>
  <c r="H75" i="3"/>
  <c r="F75" i="3"/>
  <c r="H74" i="3"/>
  <c r="F74" i="3"/>
  <c r="H73" i="3"/>
  <c r="F73" i="3"/>
  <c r="H72" i="3"/>
  <c r="F72" i="3"/>
  <c r="H71" i="3"/>
  <c r="F71" i="3"/>
  <c r="H70" i="3"/>
  <c r="F70" i="3"/>
  <c r="H69" i="3"/>
  <c r="F69" i="3"/>
  <c r="H68" i="3"/>
  <c r="F68" i="3"/>
  <c r="H67" i="3"/>
  <c r="F67" i="3"/>
  <c r="H66" i="3"/>
  <c r="F66" i="3"/>
  <c r="H65" i="3"/>
  <c r="F65" i="3"/>
  <c r="H64" i="3"/>
  <c r="F64" i="3"/>
  <c r="H63" i="3"/>
  <c r="F63" i="3"/>
  <c r="H62" i="3"/>
  <c r="F62" i="3"/>
  <c r="H61" i="3"/>
  <c r="F61" i="3"/>
  <c r="H60" i="3"/>
  <c r="F60" i="3"/>
  <c r="H59" i="3"/>
  <c r="F59" i="3"/>
  <c r="H58" i="3"/>
  <c r="F58" i="3"/>
  <c r="H57" i="3"/>
  <c r="F57" i="3"/>
  <c r="H56" i="3"/>
  <c r="F56" i="3"/>
  <c r="H55" i="3"/>
  <c r="F55" i="3"/>
  <c r="H54" i="3"/>
  <c r="F54" i="3"/>
  <c r="H53" i="3"/>
  <c r="F53" i="3"/>
  <c r="H52" i="3"/>
  <c r="F52" i="3"/>
  <c r="H51" i="3"/>
  <c r="F51" i="3"/>
  <c r="H50" i="3"/>
  <c r="F50" i="3"/>
  <c r="H49" i="3"/>
  <c r="F49" i="3"/>
  <c r="H48" i="3"/>
  <c r="F48" i="3"/>
  <c r="H47" i="3"/>
  <c r="F47" i="3"/>
  <c r="H46" i="3"/>
  <c r="F46" i="3"/>
  <c r="H45" i="3"/>
  <c r="F45" i="3"/>
  <c r="H44" i="3"/>
  <c r="F44" i="3"/>
  <c r="H43" i="3"/>
  <c r="F43" i="3"/>
  <c r="H42" i="3"/>
  <c r="F42" i="3"/>
  <c r="H41" i="3"/>
  <c r="F41" i="3"/>
  <c r="H40" i="3"/>
  <c r="F40" i="3"/>
  <c r="H39" i="3"/>
  <c r="F39" i="3"/>
  <c r="H38" i="3"/>
  <c r="F38" i="3"/>
  <c r="H37" i="3"/>
  <c r="F37" i="3"/>
  <c r="H36" i="3"/>
  <c r="F36" i="3"/>
  <c r="H35" i="3"/>
  <c r="F35" i="3"/>
  <c r="H34" i="3"/>
  <c r="F34" i="3"/>
  <c r="H33" i="3"/>
  <c r="F33" i="3"/>
  <c r="H32" i="3"/>
  <c r="F32" i="3"/>
  <c r="H31" i="3"/>
  <c r="F31" i="3"/>
  <c r="H30" i="3"/>
  <c r="F30" i="3"/>
  <c r="H29" i="3"/>
  <c r="F29" i="3"/>
  <c r="H28" i="3"/>
  <c r="F28" i="3"/>
  <c r="H27" i="3"/>
  <c r="F27" i="3"/>
  <c r="H26" i="3"/>
  <c r="F26" i="3"/>
  <c r="H25" i="3"/>
  <c r="F25" i="3"/>
  <c r="H24" i="3"/>
  <c r="F24" i="3"/>
  <c r="H23" i="3"/>
  <c r="F23" i="3"/>
  <c r="H22" i="3"/>
  <c r="F22" i="3"/>
  <c r="H21" i="3"/>
  <c r="F21" i="3"/>
  <c r="H20" i="3"/>
  <c r="F20" i="3"/>
  <c r="H19" i="3"/>
  <c r="F19" i="3"/>
  <c r="H18" i="3"/>
  <c r="F18" i="3"/>
  <c r="H17" i="3"/>
  <c r="F17" i="3"/>
  <c r="H16" i="3"/>
  <c r="F16" i="3"/>
  <c r="H15" i="3"/>
  <c r="F15" i="3"/>
  <c r="H14" i="3"/>
  <c r="F14" i="3"/>
  <c r="H13" i="3"/>
  <c r="F13" i="3"/>
  <c r="H12" i="3"/>
  <c r="F12" i="3"/>
  <c r="H11" i="3"/>
  <c r="F11" i="3"/>
  <c r="H10" i="3"/>
  <c r="F10" i="3"/>
  <c r="H9" i="3"/>
  <c r="F9" i="3"/>
  <c r="H8" i="3"/>
  <c r="F8" i="3"/>
  <c r="H7" i="3"/>
  <c r="F7" i="3"/>
  <c r="H6" i="3"/>
  <c r="F6" i="3"/>
  <c r="H5" i="3"/>
  <c r="F5" i="3"/>
  <c r="H4" i="3"/>
  <c r="F4" i="3"/>
  <c r="H3" i="3"/>
  <c r="F3" i="3"/>
  <c r="H2" i="3"/>
  <c r="F2" i="3"/>
  <c r="E397" i="2"/>
  <c r="D397" i="2"/>
  <c r="C397" i="2"/>
  <c r="B397" i="2"/>
  <c r="F397" i="2" s="1"/>
  <c r="E396" i="2"/>
  <c r="D396" i="2"/>
  <c r="C396" i="2"/>
  <c r="B396" i="2"/>
  <c r="F396" i="2" s="1"/>
  <c r="E395" i="2"/>
  <c r="D395" i="2"/>
  <c r="C395" i="2"/>
  <c r="B395" i="2"/>
  <c r="F395" i="2" s="1"/>
  <c r="E394" i="2"/>
  <c r="D394" i="2"/>
  <c r="C394" i="2"/>
  <c r="B394" i="2"/>
  <c r="F394" i="2" s="1"/>
  <c r="H390" i="2"/>
  <c r="H389" i="2"/>
  <c r="H388" i="2"/>
  <c r="H387" i="2"/>
  <c r="H386" i="2"/>
  <c r="H385" i="2"/>
  <c r="H384" i="2"/>
  <c r="H383" i="2"/>
  <c r="H382" i="2"/>
  <c r="H381" i="2"/>
  <c r="H380" i="2"/>
  <c r="H379" i="2"/>
  <c r="H378" i="2"/>
  <c r="H377" i="2"/>
  <c r="H376" i="2"/>
  <c r="H375" i="2"/>
  <c r="H374" i="2"/>
  <c r="H373" i="2"/>
  <c r="H372" i="2"/>
  <c r="H371" i="2"/>
  <c r="H370" i="2"/>
  <c r="H369" i="2"/>
  <c r="H368" i="2"/>
  <c r="H367" i="2"/>
  <c r="H366" i="2"/>
  <c r="H365" i="2"/>
  <c r="H364" i="2"/>
  <c r="H363" i="2"/>
  <c r="H362" i="2"/>
  <c r="H361" i="2"/>
  <c r="H360" i="2"/>
  <c r="H359" i="2"/>
  <c r="H358" i="2"/>
  <c r="H357" i="2"/>
  <c r="H356" i="2"/>
  <c r="H355" i="2"/>
  <c r="H354" i="2"/>
  <c r="H353" i="2"/>
  <c r="H352" i="2"/>
  <c r="H351" i="2"/>
  <c r="H350" i="2"/>
  <c r="H349" i="2"/>
  <c r="H348" i="2"/>
  <c r="H347" i="2"/>
  <c r="H346" i="2"/>
  <c r="H345" i="2"/>
  <c r="H344" i="2"/>
  <c r="H343" i="2"/>
  <c r="H342" i="2"/>
  <c r="H341" i="2"/>
  <c r="H340" i="2"/>
  <c r="H339" i="2"/>
  <c r="H338" i="2"/>
  <c r="H337" i="2"/>
  <c r="H336" i="2"/>
  <c r="H335" i="2"/>
  <c r="H334" i="2"/>
  <c r="H333" i="2"/>
  <c r="H332" i="2"/>
  <c r="H331" i="2"/>
  <c r="H330" i="2"/>
  <c r="H329" i="2"/>
  <c r="H328" i="2"/>
  <c r="H327" i="2"/>
  <c r="H326" i="2"/>
  <c r="H325" i="2"/>
  <c r="H324" i="2"/>
  <c r="H323" i="2"/>
  <c r="H322" i="2"/>
  <c r="H321" i="2"/>
  <c r="H320" i="2"/>
  <c r="H319" i="2"/>
  <c r="H318" i="2"/>
  <c r="H317" i="2"/>
  <c r="H316" i="2"/>
  <c r="H315" i="2"/>
  <c r="H314" i="2"/>
  <c r="H313" i="2"/>
  <c r="H312" i="2"/>
  <c r="H311" i="2"/>
  <c r="H310" i="2"/>
  <c r="H309" i="2"/>
  <c r="H308" i="2"/>
  <c r="H307" i="2"/>
  <c r="H306" i="2"/>
  <c r="H305" i="2"/>
  <c r="H304" i="2"/>
  <c r="H303" i="2"/>
  <c r="H302" i="2"/>
  <c r="H301" i="2"/>
  <c r="H300" i="2"/>
  <c r="H299" i="2"/>
  <c r="H298" i="2"/>
  <c r="H297" i="2"/>
  <c r="H296" i="2"/>
  <c r="H295" i="2"/>
  <c r="H294" i="2"/>
  <c r="H293" i="2"/>
  <c r="H292" i="2"/>
  <c r="H291" i="2"/>
  <c r="H290" i="2"/>
  <c r="H289" i="2"/>
  <c r="H288" i="2"/>
  <c r="H287" i="2"/>
  <c r="H286" i="2"/>
  <c r="H285" i="2"/>
  <c r="H284" i="2"/>
  <c r="H283" i="2"/>
  <c r="H282" i="2"/>
  <c r="H281" i="2"/>
  <c r="H280" i="2"/>
  <c r="H279" i="2"/>
  <c r="H278" i="2"/>
  <c r="H277" i="2"/>
  <c r="H276" i="2"/>
  <c r="H275" i="2"/>
  <c r="H274" i="2"/>
  <c r="H273" i="2"/>
  <c r="H272" i="2"/>
  <c r="H271" i="2"/>
  <c r="H270" i="2"/>
  <c r="H269" i="2"/>
  <c r="H268" i="2"/>
  <c r="H267" i="2"/>
  <c r="H266" i="2"/>
  <c r="H265" i="2"/>
  <c r="H264" i="2"/>
  <c r="H263" i="2"/>
  <c r="H262" i="2"/>
  <c r="H261" i="2"/>
  <c r="H260" i="2"/>
  <c r="H259" i="2"/>
  <c r="H258" i="2"/>
  <c r="H257" i="2"/>
  <c r="H256" i="2"/>
  <c r="H255" i="2"/>
  <c r="H254" i="2"/>
  <c r="H253" i="2"/>
  <c r="H252" i="2"/>
  <c r="H251" i="2"/>
  <c r="H250" i="2"/>
  <c r="H249" i="2"/>
  <c r="H248" i="2"/>
  <c r="H247" i="2"/>
  <c r="H246" i="2"/>
  <c r="H245" i="2"/>
  <c r="H244" i="2"/>
  <c r="H243" i="2"/>
  <c r="H242" i="2"/>
  <c r="H241" i="2"/>
  <c r="H240" i="2"/>
  <c r="H239" i="2"/>
  <c r="H238" i="2"/>
  <c r="H237" i="2"/>
  <c r="H236" i="2"/>
  <c r="H235" i="2"/>
  <c r="H234" i="2"/>
  <c r="H233" i="2"/>
  <c r="H232" i="2"/>
  <c r="H231" i="2"/>
  <c r="H230" i="2"/>
  <c r="H229" i="2"/>
  <c r="H228" i="2"/>
  <c r="H227" i="2"/>
  <c r="H226" i="2"/>
  <c r="H225" i="2"/>
  <c r="H224" i="2"/>
  <c r="H223" i="2"/>
  <c r="H222" i="2"/>
  <c r="H221" i="2"/>
  <c r="H220" i="2"/>
  <c r="H219" i="2"/>
  <c r="H218" i="2"/>
  <c r="H217" i="2"/>
  <c r="H216" i="2"/>
  <c r="H215" i="2"/>
  <c r="H214" i="2"/>
  <c r="H213" i="2"/>
  <c r="H212" i="2"/>
  <c r="H211" i="2"/>
  <c r="F371" i="2"/>
  <c r="F372" i="2"/>
  <c r="F373" i="2"/>
  <c r="F374" i="2"/>
  <c r="G374" i="2" s="1"/>
  <c r="F375" i="2"/>
  <c r="G375" i="2" s="1"/>
  <c r="F376" i="2"/>
  <c r="G376" i="2" s="1"/>
  <c r="F377" i="2"/>
  <c r="G377" i="2" s="1"/>
  <c r="F378" i="2"/>
  <c r="G378" i="2" s="1"/>
  <c r="F379" i="2"/>
  <c r="G379" i="2" s="1"/>
  <c r="F380" i="2"/>
  <c r="G380" i="2" s="1"/>
  <c r="F381" i="2"/>
  <c r="F382" i="2"/>
  <c r="F383" i="2"/>
  <c r="F384" i="2"/>
  <c r="F385" i="2"/>
  <c r="F386" i="2"/>
  <c r="G386" i="2" s="1"/>
  <c r="F387" i="2"/>
  <c r="G387" i="2" s="1"/>
  <c r="F388" i="2"/>
  <c r="G388" i="2" s="1"/>
  <c r="F389" i="2"/>
  <c r="G389" i="2" s="1"/>
  <c r="F390" i="2"/>
  <c r="G390" i="2" s="1"/>
  <c r="F341" i="2"/>
  <c r="F342" i="2"/>
  <c r="F343" i="2"/>
  <c r="F344" i="2"/>
  <c r="G344" i="2" s="1"/>
  <c r="F345" i="2"/>
  <c r="G345" i="2" s="1"/>
  <c r="F346" i="2"/>
  <c r="G346" i="2" s="1"/>
  <c r="F347" i="2"/>
  <c r="G347" i="2" s="1"/>
  <c r="F348" i="2"/>
  <c r="G348" i="2" s="1"/>
  <c r="F349" i="2"/>
  <c r="G349" i="2" s="1"/>
  <c r="F350" i="2"/>
  <c r="F351" i="2"/>
  <c r="F352" i="2"/>
  <c r="F353" i="2"/>
  <c r="F354" i="2"/>
  <c r="G354" i="2" s="1"/>
  <c r="F355" i="2"/>
  <c r="G355" i="2" s="1"/>
  <c r="F356" i="2"/>
  <c r="F357" i="2"/>
  <c r="F358" i="2"/>
  <c r="G358" i="2" s="1"/>
  <c r="F359" i="2"/>
  <c r="G359" i="2" s="1"/>
  <c r="F360" i="2"/>
  <c r="F361" i="2"/>
  <c r="F362" i="2"/>
  <c r="F363" i="2"/>
  <c r="F364" i="2"/>
  <c r="G364" i="2" s="1"/>
  <c r="F365" i="2"/>
  <c r="G365" i="2" s="1"/>
  <c r="F366" i="2"/>
  <c r="F367" i="2"/>
  <c r="F368" i="2"/>
  <c r="G368" i="2" s="1"/>
  <c r="F369" i="2"/>
  <c r="G369" i="2" s="1"/>
  <c r="F370" i="2"/>
  <c r="F319" i="2"/>
  <c r="F320" i="2"/>
  <c r="F321" i="2"/>
  <c r="G321" i="2" s="1"/>
  <c r="F322" i="2"/>
  <c r="G322" i="2" s="1"/>
  <c r="F323" i="2"/>
  <c r="G323" i="2" s="1"/>
  <c r="F324" i="2"/>
  <c r="F325" i="2"/>
  <c r="G325" i="2" s="1"/>
  <c r="F326" i="2"/>
  <c r="F327" i="2"/>
  <c r="F328" i="2"/>
  <c r="F329" i="2"/>
  <c r="F330" i="2"/>
  <c r="F331" i="2"/>
  <c r="G331" i="2" s="1"/>
  <c r="F332" i="2"/>
  <c r="G332" i="2" s="1"/>
  <c r="F333" i="2"/>
  <c r="G333" i="2" s="1"/>
  <c r="F334" i="2"/>
  <c r="F335" i="2"/>
  <c r="G335" i="2" s="1"/>
  <c r="F336" i="2"/>
  <c r="F337" i="2"/>
  <c r="F338" i="2"/>
  <c r="F339" i="2"/>
  <c r="G339" i="2" s="1"/>
  <c r="F340" i="2"/>
  <c r="F291" i="2"/>
  <c r="F292" i="2"/>
  <c r="F293" i="2"/>
  <c r="F294" i="2"/>
  <c r="G294" i="2" s="1"/>
  <c r="F295" i="2"/>
  <c r="G295" i="2" s="1"/>
  <c r="F296" i="2"/>
  <c r="G296" i="2" s="1"/>
  <c r="F297" i="2"/>
  <c r="G297" i="2" s="1"/>
  <c r="F298" i="2"/>
  <c r="F299" i="2"/>
  <c r="G299" i="2" s="1"/>
  <c r="F300" i="2"/>
  <c r="G300" i="2" s="1"/>
  <c r="F301" i="2"/>
  <c r="F302" i="2"/>
  <c r="F303" i="2"/>
  <c r="F304" i="2"/>
  <c r="F305" i="2"/>
  <c r="G305" i="2" s="1"/>
  <c r="F306" i="2"/>
  <c r="F307" i="2"/>
  <c r="G307" i="2" s="1"/>
  <c r="F308" i="2"/>
  <c r="F309" i="2"/>
  <c r="G309" i="2" s="1"/>
  <c r="F310" i="2"/>
  <c r="G310" i="2" s="1"/>
  <c r="F311" i="2"/>
  <c r="F312" i="2"/>
  <c r="F313" i="2"/>
  <c r="F314" i="2"/>
  <c r="F315" i="2"/>
  <c r="G315" i="2" s="1"/>
  <c r="F316" i="2"/>
  <c r="F317" i="2"/>
  <c r="G317" i="2" s="1"/>
  <c r="F318" i="2"/>
  <c r="F270" i="2"/>
  <c r="F271" i="2"/>
  <c r="F272" i="2"/>
  <c r="F273" i="2"/>
  <c r="G273" i="2" s="1"/>
  <c r="F274" i="2"/>
  <c r="G274" i="2" s="1"/>
  <c r="F275" i="2"/>
  <c r="G275" i="2" s="1"/>
  <c r="F276" i="2"/>
  <c r="G276" i="2" s="1"/>
  <c r="F277" i="2"/>
  <c r="F278" i="2"/>
  <c r="F279" i="2"/>
  <c r="G279" i="2" s="1"/>
  <c r="F280" i="2"/>
  <c r="F281" i="2"/>
  <c r="F282" i="2"/>
  <c r="F283" i="2"/>
  <c r="G283" i="2" s="1"/>
  <c r="F284" i="2"/>
  <c r="G284" i="2" s="1"/>
  <c r="F285" i="2"/>
  <c r="G285" i="2" s="1"/>
  <c r="F286" i="2"/>
  <c r="G286" i="2" s="1"/>
  <c r="F287" i="2"/>
  <c r="F288" i="2"/>
  <c r="F289" i="2"/>
  <c r="G289" i="2" s="1"/>
  <c r="F290" i="2"/>
  <c r="F255" i="2"/>
  <c r="F256" i="2"/>
  <c r="F257" i="2"/>
  <c r="F258" i="2"/>
  <c r="F259" i="2"/>
  <c r="G259" i="2" s="1"/>
  <c r="F260" i="2"/>
  <c r="G260" i="2" s="1"/>
  <c r="F261" i="2"/>
  <c r="G261" i="2" s="1"/>
  <c r="F262" i="2"/>
  <c r="G262" i="2" s="1"/>
  <c r="F263" i="2"/>
  <c r="G263" i="2" s="1"/>
  <c r="F264" i="2"/>
  <c r="G264" i="2" s="1"/>
  <c r="F265" i="2"/>
  <c r="F266" i="2"/>
  <c r="F267" i="2"/>
  <c r="F268" i="2"/>
  <c r="F269" i="2"/>
  <c r="F239" i="2"/>
  <c r="F240" i="2"/>
  <c r="F241" i="2"/>
  <c r="F242" i="2"/>
  <c r="F243" i="2"/>
  <c r="F244" i="2"/>
  <c r="F245" i="2"/>
  <c r="F246" i="2"/>
  <c r="F247" i="2"/>
  <c r="F248" i="2"/>
  <c r="G248" i="2" s="1"/>
  <c r="F249" i="2"/>
  <c r="F250" i="2"/>
  <c r="F251" i="2"/>
  <c r="F252" i="2"/>
  <c r="F253" i="2"/>
  <c r="G253" i="2" s="1"/>
  <c r="F254" i="2"/>
  <c r="F217" i="2"/>
  <c r="F218" i="2"/>
  <c r="F219" i="2"/>
  <c r="F220" i="2"/>
  <c r="F221" i="2"/>
  <c r="G221" i="2" s="1"/>
  <c r="F222" i="2"/>
  <c r="G222" i="2" s="1"/>
  <c r="F223" i="2"/>
  <c r="G223" i="2" s="1"/>
  <c r="F224" i="2"/>
  <c r="G224" i="2" s="1"/>
  <c r="F225" i="2"/>
  <c r="G225" i="2" s="1"/>
  <c r="F226" i="2"/>
  <c r="F227" i="2"/>
  <c r="F228" i="2"/>
  <c r="F229" i="2"/>
  <c r="F230" i="2"/>
  <c r="F231" i="2"/>
  <c r="G231" i="2" s="1"/>
  <c r="F232" i="2"/>
  <c r="G232" i="2" s="1"/>
  <c r="F233" i="2"/>
  <c r="G233" i="2" s="1"/>
  <c r="F234" i="2"/>
  <c r="G234" i="2" s="1"/>
  <c r="F235" i="2"/>
  <c r="G235" i="2" s="1"/>
  <c r="F236" i="2"/>
  <c r="F237" i="2"/>
  <c r="F238" i="2"/>
  <c r="F213" i="2"/>
  <c r="F214" i="2"/>
  <c r="G214" i="2" s="1"/>
  <c r="F215" i="2"/>
  <c r="F216" i="2"/>
  <c r="F212" i="2"/>
  <c r="F211" i="2"/>
  <c r="G385" i="2"/>
  <c r="G384" i="2"/>
  <c r="G383" i="2"/>
  <c r="G382" i="2"/>
  <c r="G381" i="2"/>
  <c r="G373" i="2"/>
  <c r="G372" i="2"/>
  <c r="G371" i="2"/>
  <c r="G370" i="2"/>
  <c r="G367" i="2"/>
  <c r="G366" i="2"/>
  <c r="G363" i="2"/>
  <c r="G362" i="2"/>
  <c r="G361" i="2"/>
  <c r="G360" i="2"/>
  <c r="G357" i="2"/>
  <c r="G356" i="2"/>
  <c r="G353" i="2"/>
  <c r="G352" i="2"/>
  <c r="G351" i="2"/>
  <c r="G350" i="2"/>
  <c r="G343" i="2"/>
  <c r="G342" i="2"/>
  <c r="G341" i="2"/>
  <c r="G340" i="2"/>
  <c r="G338" i="2"/>
  <c r="G337" i="2"/>
  <c r="G336" i="2"/>
  <c r="G334" i="2"/>
  <c r="G330" i="2"/>
  <c r="G329" i="2"/>
  <c r="G328" i="2"/>
  <c r="G327" i="2"/>
  <c r="G326" i="2"/>
  <c r="G324" i="2"/>
  <c r="G320" i="2"/>
  <c r="G319" i="2"/>
  <c r="G318" i="2"/>
  <c r="G316" i="2"/>
  <c r="G314" i="2"/>
  <c r="G313" i="2"/>
  <c r="G312" i="2"/>
  <c r="G311" i="2"/>
  <c r="G308" i="2"/>
  <c r="G306" i="2"/>
  <c r="G304" i="2"/>
  <c r="G303" i="2"/>
  <c r="G302" i="2"/>
  <c r="G301" i="2"/>
  <c r="G298" i="2"/>
  <c r="G293" i="2"/>
  <c r="G292" i="2"/>
  <c r="G291" i="2"/>
  <c r="G290" i="2"/>
  <c r="G288" i="2"/>
  <c r="G287" i="2"/>
  <c r="G282" i="2"/>
  <c r="G281" i="2"/>
  <c r="G280" i="2"/>
  <c r="G278" i="2"/>
  <c r="G277" i="2"/>
  <c r="G272" i="2"/>
  <c r="G271" i="2"/>
  <c r="G270" i="2"/>
  <c r="G269" i="2"/>
  <c r="G268" i="2"/>
  <c r="G267" i="2"/>
  <c r="G266" i="2"/>
  <c r="G265" i="2"/>
  <c r="G258" i="2"/>
  <c r="G257" i="2"/>
  <c r="G256" i="2"/>
  <c r="G255" i="2"/>
  <c r="G254" i="2"/>
  <c r="G252" i="2"/>
  <c r="G251" i="2"/>
  <c r="G250" i="2"/>
  <c r="G249" i="2"/>
  <c r="G247" i="2"/>
  <c r="G246" i="2"/>
  <c r="G245" i="2"/>
  <c r="G244" i="2"/>
  <c r="G243" i="2"/>
  <c r="G242" i="2"/>
  <c r="G241" i="2"/>
  <c r="G240" i="2"/>
  <c r="G239" i="2"/>
  <c r="G238" i="2"/>
  <c r="G237" i="2"/>
  <c r="G236" i="2"/>
  <c r="G230" i="2"/>
  <c r="G229" i="2"/>
  <c r="G228" i="2"/>
  <c r="G227" i="2"/>
  <c r="G226" i="2"/>
  <c r="G220" i="2"/>
  <c r="G219" i="2"/>
  <c r="G218" i="2"/>
  <c r="G217" i="2"/>
  <c r="G216" i="2"/>
  <c r="G215" i="2"/>
  <c r="G213" i="2"/>
  <c r="G212" i="2"/>
  <c r="G211" i="2"/>
  <c r="C204" i="2"/>
  <c r="C205" i="2"/>
  <c r="C206" i="2"/>
  <c r="C203" i="2"/>
  <c r="B206" i="2"/>
  <c r="B205" i="2"/>
  <c r="B204" i="2"/>
  <c r="B203" i="2"/>
  <c r="D206" i="2"/>
  <c r="D205" i="2"/>
  <c r="D204" i="2"/>
  <c r="D203" i="2"/>
  <c r="F197" i="2"/>
  <c r="C197" i="2"/>
  <c r="E197" i="2" s="1"/>
  <c r="F196" i="2"/>
  <c r="C196" i="2"/>
  <c r="E196" i="2" s="1"/>
  <c r="F195" i="2"/>
  <c r="E195" i="2"/>
  <c r="C195" i="2"/>
  <c r="F194" i="2"/>
  <c r="E194" i="2"/>
  <c r="C194" i="2"/>
  <c r="F193" i="2"/>
  <c r="C193" i="2"/>
  <c r="E193" i="2" s="1"/>
  <c r="F192" i="2"/>
  <c r="E192" i="2"/>
  <c r="C192" i="2"/>
  <c r="F191" i="2"/>
  <c r="E191" i="2"/>
  <c r="C191" i="2"/>
  <c r="F190" i="2"/>
  <c r="C190" i="2"/>
  <c r="E190" i="2" s="1"/>
  <c r="F189" i="2"/>
  <c r="E189" i="2"/>
  <c r="C189" i="2"/>
  <c r="F188" i="2"/>
  <c r="C188" i="2"/>
  <c r="E188" i="2" s="1"/>
  <c r="F187" i="2"/>
  <c r="C187" i="2"/>
  <c r="E187" i="2" s="1"/>
  <c r="F186" i="2"/>
  <c r="C186" i="2"/>
  <c r="E186" i="2" s="1"/>
  <c r="H181" i="2"/>
  <c r="F181" i="2"/>
  <c r="H180" i="2"/>
  <c r="F180" i="2"/>
  <c r="H179" i="2"/>
  <c r="F179" i="2"/>
  <c r="H178" i="2"/>
  <c r="F178" i="2"/>
  <c r="H177" i="2"/>
  <c r="F177" i="2"/>
  <c r="H176" i="2"/>
  <c r="F176" i="2"/>
  <c r="H175" i="2"/>
  <c r="F175" i="2"/>
  <c r="H174" i="2"/>
  <c r="F174" i="2"/>
  <c r="H173" i="2"/>
  <c r="F173" i="2"/>
  <c r="H172" i="2"/>
  <c r="F172" i="2"/>
  <c r="H171" i="2"/>
  <c r="F171" i="2"/>
  <c r="H170" i="2"/>
  <c r="F170" i="2"/>
  <c r="H169" i="2"/>
  <c r="F169" i="2"/>
  <c r="H168" i="2"/>
  <c r="F168" i="2"/>
  <c r="H167" i="2"/>
  <c r="F167" i="2"/>
  <c r="H166" i="2"/>
  <c r="F166" i="2"/>
  <c r="H165" i="2"/>
  <c r="F165" i="2"/>
  <c r="H164" i="2"/>
  <c r="F164" i="2"/>
  <c r="H163" i="2"/>
  <c r="F163" i="2"/>
  <c r="H162" i="2"/>
  <c r="F162" i="2"/>
  <c r="H161" i="2"/>
  <c r="F161" i="2"/>
  <c r="H160" i="2"/>
  <c r="F160" i="2"/>
  <c r="H159" i="2"/>
  <c r="F159" i="2"/>
  <c r="H158" i="2"/>
  <c r="F158" i="2"/>
  <c r="H157" i="2"/>
  <c r="F157" i="2"/>
  <c r="H156" i="2"/>
  <c r="F156" i="2"/>
  <c r="H155" i="2"/>
  <c r="F155" i="2"/>
  <c r="H154" i="2"/>
  <c r="F154" i="2"/>
  <c r="H153" i="2"/>
  <c r="F153" i="2"/>
  <c r="H152" i="2"/>
  <c r="F152" i="2"/>
  <c r="H151" i="2"/>
  <c r="F151" i="2"/>
  <c r="H150" i="2"/>
  <c r="F150" i="2"/>
  <c r="H149" i="2"/>
  <c r="F149" i="2"/>
  <c r="H148" i="2"/>
  <c r="F148" i="2"/>
  <c r="H147" i="2"/>
  <c r="F147" i="2"/>
  <c r="H146" i="2"/>
  <c r="F146" i="2"/>
  <c r="H145" i="2"/>
  <c r="F145" i="2"/>
  <c r="H144" i="2"/>
  <c r="F144" i="2"/>
  <c r="H143" i="2"/>
  <c r="F143" i="2"/>
  <c r="H142" i="2"/>
  <c r="F142" i="2"/>
  <c r="H141" i="2"/>
  <c r="F141" i="2"/>
  <c r="H140" i="2"/>
  <c r="F140" i="2"/>
  <c r="H139" i="2"/>
  <c r="F139" i="2"/>
  <c r="H138" i="2"/>
  <c r="F138" i="2"/>
  <c r="H137" i="2"/>
  <c r="F137" i="2"/>
  <c r="H136" i="2"/>
  <c r="F136" i="2"/>
  <c r="H135" i="2"/>
  <c r="F135" i="2"/>
  <c r="H134" i="2"/>
  <c r="F134" i="2"/>
  <c r="H133" i="2"/>
  <c r="F133" i="2"/>
  <c r="H132" i="2"/>
  <c r="F132" i="2"/>
  <c r="H131" i="2"/>
  <c r="F131" i="2"/>
  <c r="H130" i="2"/>
  <c r="F130" i="2"/>
  <c r="H129" i="2"/>
  <c r="F129" i="2"/>
  <c r="H128" i="2"/>
  <c r="F128" i="2"/>
  <c r="H127" i="2"/>
  <c r="F127" i="2"/>
  <c r="H126" i="2"/>
  <c r="F126" i="2"/>
  <c r="H125" i="2"/>
  <c r="F125" i="2"/>
  <c r="H124" i="2"/>
  <c r="F124" i="2"/>
  <c r="H123" i="2"/>
  <c r="F123" i="2"/>
  <c r="H122" i="2"/>
  <c r="F122" i="2"/>
  <c r="H121" i="2"/>
  <c r="F121" i="2"/>
  <c r="H120" i="2"/>
  <c r="F120" i="2"/>
  <c r="H119" i="2"/>
  <c r="F119" i="2"/>
  <c r="H118" i="2"/>
  <c r="F118" i="2"/>
  <c r="H117" i="2"/>
  <c r="F117" i="2"/>
  <c r="H116" i="2"/>
  <c r="F116" i="2"/>
  <c r="H115" i="2"/>
  <c r="F115" i="2"/>
  <c r="H114" i="2"/>
  <c r="F114" i="2"/>
  <c r="H113" i="2"/>
  <c r="F113" i="2"/>
  <c r="H112" i="2"/>
  <c r="F112" i="2"/>
  <c r="H111" i="2"/>
  <c r="F111" i="2"/>
  <c r="H110" i="2"/>
  <c r="F110" i="2"/>
  <c r="H109" i="2"/>
  <c r="F109" i="2"/>
  <c r="H108" i="2"/>
  <c r="F108" i="2"/>
  <c r="H107" i="2"/>
  <c r="F107" i="2"/>
  <c r="H106" i="2"/>
  <c r="F106" i="2"/>
  <c r="H105" i="2"/>
  <c r="F105" i="2"/>
  <c r="H104" i="2"/>
  <c r="F104" i="2"/>
  <c r="H103" i="2"/>
  <c r="F103" i="2"/>
  <c r="H102" i="2"/>
  <c r="F102" i="2"/>
  <c r="H101" i="2"/>
  <c r="F101" i="2"/>
  <c r="H100" i="2"/>
  <c r="F100" i="2"/>
  <c r="H99" i="2"/>
  <c r="F99" i="2"/>
  <c r="H98" i="2"/>
  <c r="F98" i="2"/>
  <c r="H97" i="2"/>
  <c r="F97" i="2"/>
  <c r="H96" i="2"/>
  <c r="F96" i="2"/>
  <c r="H95" i="2"/>
  <c r="F95" i="2"/>
  <c r="H94" i="2"/>
  <c r="F94" i="2"/>
  <c r="H93" i="2"/>
  <c r="F93" i="2"/>
  <c r="H92" i="2"/>
  <c r="F92" i="2"/>
  <c r="H91" i="2"/>
  <c r="F91" i="2"/>
  <c r="H90" i="2"/>
  <c r="F90" i="2"/>
  <c r="H89" i="2"/>
  <c r="F89" i="2"/>
  <c r="H88" i="2"/>
  <c r="F88" i="2"/>
  <c r="H87" i="2"/>
  <c r="F87" i="2"/>
  <c r="H86" i="2"/>
  <c r="F86" i="2"/>
  <c r="H85" i="2"/>
  <c r="F85" i="2"/>
  <c r="H84" i="2"/>
  <c r="F84" i="2"/>
  <c r="H83" i="2"/>
  <c r="F83" i="2"/>
  <c r="H82" i="2"/>
  <c r="F82" i="2"/>
  <c r="H81" i="2"/>
  <c r="F81" i="2"/>
  <c r="H80" i="2"/>
  <c r="F80" i="2"/>
  <c r="H79" i="2"/>
  <c r="F79" i="2"/>
  <c r="H78" i="2"/>
  <c r="F78" i="2"/>
  <c r="H77" i="2"/>
  <c r="F77" i="2"/>
  <c r="H76" i="2"/>
  <c r="F76" i="2"/>
  <c r="H75" i="2"/>
  <c r="F75" i="2"/>
  <c r="H74" i="2"/>
  <c r="F74" i="2"/>
  <c r="H73" i="2"/>
  <c r="F73" i="2"/>
  <c r="H72" i="2"/>
  <c r="F72" i="2"/>
  <c r="H71" i="2"/>
  <c r="F71" i="2"/>
  <c r="H70" i="2"/>
  <c r="F70" i="2"/>
  <c r="H69" i="2"/>
  <c r="F69" i="2"/>
  <c r="H68" i="2"/>
  <c r="F68" i="2"/>
  <c r="H67" i="2"/>
  <c r="F67" i="2"/>
  <c r="H66" i="2"/>
  <c r="F66" i="2"/>
  <c r="H65" i="2"/>
  <c r="F65" i="2"/>
  <c r="H64" i="2"/>
  <c r="F64" i="2"/>
  <c r="H63" i="2"/>
  <c r="F63" i="2"/>
  <c r="H62" i="2"/>
  <c r="F62" i="2"/>
  <c r="H61" i="2"/>
  <c r="F61" i="2"/>
  <c r="H60" i="2"/>
  <c r="F60" i="2"/>
  <c r="H59" i="2"/>
  <c r="F59" i="2"/>
  <c r="H58" i="2"/>
  <c r="F58" i="2"/>
  <c r="H57" i="2"/>
  <c r="F57" i="2"/>
  <c r="H56" i="2"/>
  <c r="F56" i="2"/>
  <c r="H55" i="2"/>
  <c r="F55" i="2"/>
  <c r="H54" i="2"/>
  <c r="F54" i="2"/>
  <c r="H53" i="2"/>
  <c r="F53" i="2"/>
  <c r="H52" i="2"/>
  <c r="F52" i="2"/>
  <c r="H51" i="2"/>
  <c r="F51" i="2"/>
  <c r="H50" i="2"/>
  <c r="F50" i="2"/>
  <c r="H49" i="2"/>
  <c r="F49" i="2"/>
  <c r="H48" i="2"/>
  <c r="F48" i="2"/>
  <c r="H47" i="2"/>
  <c r="F47" i="2"/>
  <c r="H46" i="2"/>
  <c r="F46" i="2"/>
  <c r="H45" i="2"/>
  <c r="F45" i="2"/>
  <c r="H44" i="2"/>
  <c r="F44" i="2"/>
  <c r="H43" i="2"/>
  <c r="F43" i="2"/>
  <c r="H42" i="2"/>
  <c r="F42" i="2"/>
  <c r="H41" i="2"/>
  <c r="F41" i="2"/>
  <c r="H40" i="2"/>
  <c r="F40" i="2"/>
  <c r="H39" i="2"/>
  <c r="F39" i="2"/>
  <c r="H38" i="2"/>
  <c r="F38" i="2"/>
  <c r="H37" i="2"/>
  <c r="F37" i="2"/>
  <c r="H36" i="2"/>
  <c r="F36" i="2"/>
  <c r="H35" i="2"/>
  <c r="F35" i="2"/>
  <c r="H34" i="2"/>
  <c r="F34" i="2"/>
  <c r="H33" i="2"/>
  <c r="F33" i="2"/>
  <c r="H32" i="2"/>
  <c r="F32" i="2"/>
  <c r="H31" i="2"/>
  <c r="F31" i="2"/>
  <c r="H30" i="2"/>
  <c r="F30" i="2"/>
  <c r="H29" i="2"/>
  <c r="F29" i="2"/>
  <c r="H28" i="2"/>
  <c r="F28" i="2"/>
  <c r="H27" i="2"/>
  <c r="F27" i="2"/>
  <c r="H26" i="2"/>
  <c r="F26" i="2"/>
  <c r="H25" i="2"/>
  <c r="F25" i="2"/>
  <c r="H24" i="2"/>
  <c r="F24" i="2"/>
  <c r="H23" i="2"/>
  <c r="F23" i="2"/>
  <c r="H22" i="2"/>
  <c r="F22" i="2"/>
  <c r="H21" i="2"/>
  <c r="F21" i="2"/>
  <c r="H20" i="2"/>
  <c r="F20" i="2"/>
  <c r="H19" i="2"/>
  <c r="F19" i="2"/>
  <c r="H18" i="2"/>
  <c r="F18" i="2"/>
  <c r="H17" i="2"/>
  <c r="F17" i="2"/>
  <c r="H16" i="2"/>
  <c r="F16" i="2"/>
  <c r="H15" i="2"/>
  <c r="F15" i="2"/>
  <c r="H14" i="2"/>
  <c r="F14" i="2"/>
  <c r="H13" i="2"/>
  <c r="F13" i="2"/>
  <c r="H12" i="2"/>
  <c r="F12" i="2"/>
  <c r="H11" i="2"/>
  <c r="F11" i="2"/>
  <c r="H10" i="2"/>
  <c r="F10" i="2"/>
  <c r="H9" i="2"/>
  <c r="F9" i="2"/>
  <c r="H8" i="2"/>
  <c r="F8" i="2"/>
  <c r="H7" i="2"/>
  <c r="F7" i="2"/>
  <c r="H6" i="2"/>
  <c r="F6" i="2"/>
  <c r="H5" i="2"/>
  <c r="F5" i="2"/>
  <c r="H4" i="2"/>
  <c r="F4" i="2"/>
  <c r="H3" i="2"/>
  <c r="F3" i="2"/>
  <c r="H2" i="2"/>
  <c r="F2" i="2"/>
  <c r="E397" i="1"/>
  <c r="E396" i="1"/>
  <c r="E395" i="1"/>
  <c r="E394" i="1"/>
  <c r="D397" i="1"/>
  <c r="D396" i="1"/>
  <c r="D395" i="1"/>
  <c r="D394" i="1"/>
  <c r="C397" i="1"/>
  <c r="C396" i="1"/>
  <c r="C395" i="1"/>
  <c r="C394" i="1"/>
  <c r="B397" i="1"/>
  <c r="B396" i="1"/>
  <c r="B395" i="1"/>
  <c r="B394"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295" i="1"/>
  <c r="H296" i="1"/>
  <c r="H297" i="1"/>
  <c r="H298" i="1"/>
  <c r="H299" i="1"/>
  <c r="H300" i="1"/>
  <c r="H301" i="1"/>
  <c r="H302" i="1"/>
  <c r="H303" i="1"/>
  <c r="H304" i="1"/>
  <c r="H305" i="1"/>
  <c r="H306" i="1"/>
  <c r="H307"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37" i="1"/>
  <c r="H238" i="1"/>
  <c r="H239" i="1"/>
  <c r="H244" i="1"/>
  <c r="H246" i="1"/>
  <c r="H250" i="1"/>
  <c r="H254" i="1"/>
  <c r="H256" i="1"/>
  <c r="H257" i="1"/>
  <c r="H258" i="1"/>
  <c r="H259" i="1"/>
  <c r="H260" i="1"/>
  <c r="H261" i="1"/>
  <c r="H262" i="1"/>
  <c r="H263" i="1"/>
  <c r="H264" i="1"/>
  <c r="H265" i="1"/>
  <c r="H266" i="1"/>
  <c r="H215" i="1"/>
  <c r="H217" i="1"/>
  <c r="H218" i="1"/>
  <c r="H219" i="1"/>
  <c r="H221" i="1"/>
  <c r="H225" i="1"/>
  <c r="H227" i="1"/>
  <c r="H228" i="1"/>
  <c r="H229" i="1"/>
  <c r="H230" i="1"/>
  <c r="H231" i="1"/>
  <c r="H232" i="1"/>
  <c r="H234" i="1"/>
  <c r="H235" i="1"/>
  <c r="H236" i="1"/>
  <c r="G369" i="1"/>
  <c r="G370" i="1"/>
  <c r="G371" i="1"/>
  <c r="G372" i="1"/>
  <c r="G373" i="1"/>
  <c r="G374" i="1"/>
  <c r="G375" i="1"/>
  <c r="G376" i="1"/>
  <c r="G377" i="1"/>
  <c r="G378" i="1"/>
  <c r="G379" i="1"/>
  <c r="G380" i="1"/>
  <c r="G381" i="1"/>
  <c r="G382" i="1"/>
  <c r="G383" i="1"/>
  <c r="G384" i="1"/>
  <c r="G385" i="1"/>
  <c r="G386" i="1"/>
  <c r="G387" i="1"/>
  <c r="G388" i="1"/>
  <c r="G389" i="1"/>
  <c r="G390" i="1"/>
  <c r="G351" i="1"/>
  <c r="G352" i="1"/>
  <c r="G353" i="1"/>
  <c r="G354" i="1"/>
  <c r="G355" i="1"/>
  <c r="G356" i="1"/>
  <c r="G357" i="1"/>
  <c r="G358" i="1"/>
  <c r="G359" i="1"/>
  <c r="G360" i="1"/>
  <c r="G361" i="1"/>
  <c r="G362" i="1"/>
  <c r="G363" i="1"/>
  <c r="G364" i="1"/>
  <c r="G365" i="1"/>
  <c r="G366" i="1"/>
  <c r="G367" i="1"/>
  <c r="G368" i="1"/>
  <c r="G333" i="1"/>
  <c r="G334" i="1"/>
  <c r="G335" i="1"/>
  <c r="G336" i="1"/>
  <c r="G337" i="1"/>
  <c r="G338" i="1"/>
  <c r="G339" i="1"/>
  <c r="G340" i="1"/>
  <c r="G341" i="1"/>
  <c r="G342" i="1"/>
  <c r="G343" i="1"/>
  <c r="G344" i="1"/>
  <c r="G345" i="1"/>
  <c r="G346" i="1"/>
  <c r="G347" i="1"/>
  <c r="G348" i="1"/>
  <c r="G349" i="1"/>
  <c r="G350" i="1"/>
  <c r="G312" i="1"/>
  <c r="G313" i="1"/>
  <c r="G314" i="1"/>
  <c r="G315" i="1"/>
  <c r="G316" i="1"/>
  <c r="G317" i="1"/>
  <c r="G318" i="1"/>
  <c r="G319" i="1"/>
  <c r="G320" i="1"/>
  <c r="G321" i="1"/>
  <c r="G322" i="1"/>
  <c r="G323" i="1"/>
  <c r="G324" i="1"/>
  <c r="G325" i="1"/>
  <c r="G326" i="1"/>
  <c r="G327" i="1"/>
  <c r="G328" i="1"/>
  <c r="G329" i="1"/>
  <c r="G330" i="1"/>
  <c r="G331" i="1"/>
  <c r="G332" i="1"/>
  <c r="G303" i="1"/>
  <c r="G304" i="1"/>
  <c r="G305" i="1"/>
  <c r="G306" i="1"/>
  <c r="G307" i="1"/>
  <c r="G308" i="1"/>
  <c r="G309" i="1"/>
  <c r="G310" i="1"/>
  <c r="G311"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242" i="1"/>
  <c r="H242" i="1" s="1"/>
  <c r="G243" i="1"/>
  <c r="H243" i="1" s="1"/>
  <c r="G244" i="1"/>
  <c r="G245" i="1"/>
  <c r="H245" i="1" s="1"/>
  <c r="G246" i="1"/>
  <c r="G247" i="1"/>
  <c r="H247" i="1" s="1"/>
  <c r="G248" i="1"/>
  <c r="H248" i="1" s="1"/>
  <c r="G249" i="1"/>
  <c r="H249" i="1" s="1"/>
  <c r="G250" i="1"/>
  <c r="G251" i="1"/>
  <c r="H251" i="1" s="1"/>
  <c r="G252" i="1"/>
  <c r="H252" i="1" s="1"/>
  <c r="G253" i="1"/>
  <c r="H253" i="1" s="1"/>
  <c r="G254" i="1"/>
  <c r="G255" i="1"/>
  <c r="H255" i="1" s="1"/>
  <c r="G256" i="1"/>
  <c r="G257" i="1"/>
  <c r="G258" i="1"/>
  <c r="G259" i="1"/>
  <c r="G260" i="1"/>
  <c r="G261" i="1"/>
  <c r="G262" i="1"/>
  <c r="G263" i="1"/>
  <c r="G264" i="1"/>
  <c r="G265" i="1"/>
  <c r="G266" i="1"/>
  <c r="G267" i="1"/>
  <c r="G268" i="1"/>
  <c r="G269" i="1"/>
  <c r="G270" i="1"/>
  <c r="G212" i="1"/>
  <c r="H212" i="1" s="1"/>
  <c r="G213" i="1"/>
  <c r="H213" i="1" s="1"/>
  <c r="G214" i="1"/>
  <c r="H214" i="1" s="1"/>
  <c r="G215" i="1"/>
  <c r="G216" i="1"/>
  <c r="H216" i="1" s="1"/>
  <c r="G217" i="1"/>
  <c r="G218" i="1"/>
  <c r="G219" i="1"/>
  <c r="G220" i="1"/>
  <c r="H220" i="1" s="1"/>
  <c r="G221" i="1"/>
  <c r="G222" i="1"/>
  <c r="H222" i="1" s="1"/>
  <c r="G223" i="1"/>
  <c r="H223" i="1" s="1"/>
  <c r="G224" i="1"/>
  <c r="H224" i="1" s="1"/>
  <c r="G225" i="1"/>
  <c r="G226" i="1"/>
  <c r="H226" i="1" s="1"/>
  <c r="G227" i="1"/>
  <c r="G228" i="1"/>
  <c r="G229" i="1"/>
  <c r="G230" i="1"/>
  <c r="G231" i="1"/>
  <c r="G232" i="1"/>
  <c r="G233" i="1"/>
  <c r="H233" i="1" s="1"/>
  <c r="G234" i="1"/>
  <c r="G235" i="1"/>
  <c r="G236" i="1"/>
  <c r="G237" i="1"/>
  <c r="G238" i="1"/>
  <c r="G239" i="1"/>
  <c r="G240" i="1"/>
  <c r="H240" i="1" s="1"/>
  <c r="G241" i="1"/>
  <c r="H241" i="1" s="1"/>
  <c r="G211" i="1"/>
  <c r="H211" i="1" s="1"/>
  <c r="D206" i="1"/>
  <c r="D205" i="1"/>
  <c r="D204" i="1"/>
  <c r="D203" i="1"/>
  <c r="F197" i="1"/>
  <c r="F196" i="1"/>
  <c r="F195" i="1"/>
  <c r="F194" i="1"/>
  <c r="F193" i="1"/>
  <c r="C193" i="1"/>
  <c r="E193" i="1" s="1"/>
  <c r="F192" i="1"/>
  <c r="F191" i="1"/>
  <c r="F190" i="1"/>
  <c r="F189" i="1"/>
  <c r="F188" i="1"/>
  <c r="F186" i="1"/>
  <c r="F187" i="1"/>
  <c r="H181" i="1"/>
  <c r="F181" i="1"/>
  <c r="H180" i="1"/>
  <c r="F180" i="1"/>
  <c r="H179" i="1"/>
  <c r="F179" i="1"/>
  <c r="H178" i="1"/>
  <c r="F178" i="1"/>
  <c r="H177" i="1"/>
  <c r="F177" i="1"/>
  <c r="H176" i="1"/>
  <c r="F176" i="1"/>
  <c r="H175" i="1"/>
  <c r="F175" i="1"/>
  <c r="H174" i="1"/>
  <c r="F174" i="1"/>
  <c r="H173" i="1"/>
  <c r="F173" i="1"/>
  <c r="H172" i="1"/>
  <c r="F172" i="1"/>
  <c r="H171" i="1"/>
  <c r="F171" i="1"/>
  <c r="H170" i="1"/>
  <c r="F170" i="1"/>
  <c r="H169" i="1"/>
  <c r="F169" i="1"/>
  <c r="H168" i="1"/>
  <c r="F168" i="1"/>
  <c r="C197" i="1" s="1"/>
  <c r="E197" i="1" s="1"/>
  <c r="H167" i="1"/>
  <c r="F167" i="1"/>
  <c r="H166" i="1"/>
  <c r="F166" i="1"/>
  <c r="H165" i="1"/>
  <c r="F165" i="1"/>
  <c r="H164" i="1"/>
  <c r="F164" i="1"/>
  <c r="H163" i="1"/>
  <c r="F163" i="1"/>
  <c r="H162" i="1"/>
  <c r="F162" i="1"/>
  <c r="H161" i="1"/>
  <c r="F161" i="1"/>
  <c r="H160" i="1"/>
  <c r="F160" i="1"/>
  <c r="H159" i="1"/>
  <c r="F159" i="1"/>
  <c r="H158" i="1"/>
  <c r="F158" i="1"/>
  <c r="H157" i="1"/>
  <c r="F157" i="1"/>
  <c r="H156" i="1"/>
  <c r="F156" i="1"/>
  <c r="H155" i="1"/>
  <c r="F155" i="1"/>
  <c r="H154" i="1"/>
  <c r="F154" i="1"/>
  <c r="H153" i="1"/>
  <c r="F153" i="1"/>
  <c r="H152" i="1"/>
  <c r="F152" i="1"/>
  <c r="C196" i="1" s="1"/>
  <c r="E196" i="1" s="1"/>
  <c r="H151" i="1"/>
  <c r="F151" i="1"/>
  <c r="H150" i="1"/>
  <c r="F150" i="1"/>
  <c r="H149" i="1"/>
  <c r="F149" i="1"/>
  <c r="H148" i="1"/>
  <c r="F148" i="1"/>
  <c r="H147" i="1"/>
  <c r="F147" i="1"/>
  <c r="H146" i="1"/>
  <c r="F146" i="1"/>
  <c r="H145" i="1"/>
  <c r="F145" i="1"/>
  <c r="H144" i="1"/>
  <c r="F144" i="1"/>
  <c r="H143" i="1"/>
  <c r="F143" i="1"/>
  <c r="H142" i="1"/>
  <c r="F142" i="1"/>
  <c r="H141" i="1"/>
  <c r="F141" i="1"/>
  <c r="H140" i="1"/>
  <c r="F140" i="1"/>
  <c r="H139" i="1"/>
  <c r="F139" i="1"/>
  <c r="H138" i="1"/>
  <c r="F138" i="1"/>
  <c r="C195" i="1" s="1"/>
  <c r="E195" i="1" s="1"/>
  <c r="H137" i="1"/>
  <c r="F137" i="1"/>
  <c r="H136" i="1"/>
  <c r="F136" i="1"/>
  <c r="H135" i="1"/>
  <c r="F135" i="1"/>
  <c r="H134" i="1"/>
  <c r="F134" i="1"/>
  <c r="H133" i="1"/>
  <c r="F133" i="1"/>
  <c r="H132" i="1"/>
  <c r="F132" i="1"/>
  <c r="H131" i="1"/>
  <c r="F131" i="1"/>
  <c r="H130" i="1"/>
  <c r="F130" i="1"/>
  <c r="H129" i="1"/>
  <c r="F129" i="1"/>
  <c r="H128" i="1"/>
  <c r="F128" i="1"/>
  <c r="H127" i="1"/>
  <c r="F127" i="1"/>
  <c r="H126" i="1"/>
  <c r="F126" i="1"/>
  <c r="H125" i="1"/>
  <c r="F125" i="1"/>
  <c r="H124" i="1"/>
  <c r="F124" i="1"/>
  <c r="H123" i="1"/>
  <c r="F123" i="1"/>
  <c r="C194" i="1" s="1"/>
  <c r="E194" i="1" s="1"/>
  <c r="H122" i="1"/>
  <c r="F122" i="1"/>
  <c r="H121" i="1"/>
  <c r="F121" i="1"/>
  <c r="H120" i="1"/>
  <c r="F120" i="1"/>
  <c r="H119" i="1"/>
  <c r="F119" i="1"/>
  <c r="H118" i="1"/>
  <c r="F118" i="1"/>
  <c r="H117" i="1"/>
  <c r="F117" i="1"/>
  <c r="H116" i="1"/>
  <c r="F116" i="1"/>
  <c r="H115" i="1"/>
  <c r="F115" i="1"/>
  <c r="H114" i="1"/>
  <c r="F114" i="1"/>
  <c r="H113" i="1"/>
  <c r="F113" i="1"/>
  <c r="H112" i="1"/>
  <c r="F112" i="1"/>
  <c r="H111" i="1"/>
  <c r="F111" i="1"/>
  <c r="H110" i="1"/>
  <c r="F110" i="1"/>
  <c r="H109" i="1"/>
  <c r="F109" i="1"/>
  <c r="H108" i="1"/>
  <c r="F108" i="1"/>
  <c r="H107" i="1"/>
  <c r="F107" i="1"/>
  <c r="H106" i="1"/>
  <c r="F106" i="1"/>
  <c r="H105" i="1"/>
  <c r="F105" i="1"/>
  <c r="H104" i="1"/>
  <c r="F104" i="1"/>
  <c r="H103" i="1"/>
  <c r="F103" i="1"/>
  <c r="H102" i="1"/>
  <c r="F102" i="1"/>
  <c r="H101" i="1"/>
  <c r="F101" i="1"/>
  <c r="H100" i="1"/>
  <c r="F100" i="1"/>
  <c r="H99" i="1"/>
  <c r="F99" i="1"/>
  <c r="H98" i="1"/>
  <c r="F98" i="1"/>
  <c r="H97" i="1"/>
  <c r="F97" i="1"/>
  <c r="H96" i="1"/>
  <c r="F96" i="1"/>
  <c r="H95" i="1"/>
  <c r="F95" i="1"/>
  <c r="H94" i="1"/>
  <c r="F94" i="1"/>
  <c r="H93" i="1"/>
  <c r="F93" i="1"/>
  <c r="H92" i="1"/>
  <c r="F92" i="1"/>
  <c r="C192" i="1" s="1"/>
  <c r="E192" i="1" s="1"/>
  <c r="H91" i="1"/>
  <c r="F91" i="1"/>
  <c r="H90" i="1"/>
  <c r="F90" i="1"/>
  <c r="H89" i="1"/>
  <c r="F89" i="1"/>
  <c r="H88" i="1"/>
  <c r="F88" i="1"/>
  <c r="H87" i="1"/>
  <c r="F87" i="1"/>
  <c r="H86" i="1"/>
  <c r="F86" i="1"/>
  <c r="H85" i="1"/>
  <c r="F85" i="1"/>
  <c r="H84" i="1"/>
  <c r="F84" i="1"/>
  <c r="H83" i="1"/>
  <c r="F83" i="1"/>
  <c r="H82" i="1"/>
  <c r="F82" i="1"/>
  <c r="H81" i="1"/>
  <c r="F81" i="1"/>
  <c r="H80" i="1"/>
  <c r="F80" i="1"/>
  <c r="H79" i="1"/>
  <c r="F79" i="1"/>
  <c r="H78" i="1"/>
  <c r="F78" i="1"/>
  <c r="C191" i="1" s="1"/>
  <c r="E191" i="1" s="1"/>
  <c r="H77" i="1"/>
  <c r="F77" i="1"/>
  <c r="H76" i="1"/>
  <c r="F76" i="1"/>
  <c r="H75" i="1"/>
  <c r="F75" i="1"/>
  <c r="H74" i="1"/>
  <c r="F74" i="1"/>
  <c r="H73" i="1"/>
  <c r="F73" i="1"/>
  <c r="H72" i="1"/>
  <c r="F72" i="1"/>
  <c r="H71" i="1"/>
  <c r="F71" i="1"/>
  <c r="H70" i="1"/>
  <c r="F70" i="1"/>
  <c r="H69" i="1"/>
  <c r="F69" i="1"/>
  <c r="H68" i="1"/>
  <c r="F68" i="1"/>
  <c r="H67" i="1"/>
  <c r="F67" i="1"/>
  <c r="H66" i="1"/>
  <c r="F66" i="1"/>
  <c r="H65" i="1"/>
  <c r="F65" i="1"/>
  <c r="H64" i="1"/>
  <c r="F64" i="1"/>
  <c r="H63" i="1"/>
  <c r="F63" i="1"/>
  <c r="C190" i="1" s="1"/>
  <c r="E190" i="1" s="1"/>
  <c r="H62" i="1"/>
  <c r="F62" i="1"/>
  <c r="H61" i="1"/>
  <c r="F61" i="1"/>
  <c r="H60" i="1"/>
  <c r="F60" i="1"/>
  <c r="H59" i="1"/>
  <c r="F59" i="1"/>
  <c r="H58" i="1"/>
  <c r="F58" i="1"/>
  <c r="H57" i="1"/>
  <c r="F57" i="1"/>
  <c r="H56" i="1"/>
  <c r="F56" i="1"/>
  <c r="H55" i="1"/>
  <c r="F55" i="1"/>
  <c r="H54" i="1"/>
  <c r="F54" i="1"/>
  <c r="H53" i="1"/>
  <c r="F53" i="1"/>
  <c r="H52" i="1"/>
  <c r="F52" i="1"/>
  <c r="H51" i="1"/>
  <c r="F51" i="1"/>
  <c r="H50" i="1"/>
  <c r="F50" i="1"/>
  <c r="H49" i="1"/>
  <c r="F49" i="1"/>
  <c r="H48" i="1"/>
  <c r="F48" i="1"/>
  <c r="H47" i="1"/>
  <c r="F47" i="1"/>
  <c r="C189" i="1" s="1"/>
  <c r="E189" i="1" s="1"/>
  <c r="H46" i="1"/>
  <c r="F46" i="1"/>
  <c r="H45" i="1"/>
  <c r="F45" i="1"/>
  <c r="H44" i="1"/>
  <c r="F44" i="1"/>
  <c r="H43" i="1"/>
  <c r="F43" i="1"/>
  <c r="H42" i="1"/>
  <c r="F42" i="1"/>
  <c r="H41" i="1"/>
  <c r="F41" i="1"/>
  <c r="H40" i="1"/>
  <c r="F40" i="1"/>
  <c r="H39" i="1"/>
  <c r="F39" i="1"/>
  <c r="H38" i="1"/>
  <c r="F38" i="1"/>
  <c r="H37" i="1"/>
  <c r="F37" i="1"/>
  <c r="H36" i="1"/>
  <c r="F36" i="1"/>
  <c r="H35" i="1"/>
  <c r="F35" i="1"/>
  <c r="H34" i="1"/>
  <c r="F34" i="1"/>
  <c r="H33" i="1"/>
  <c r="F33" i="1"/>
  <c r="H32" i="1"/>
  <c r="F32" i="1"/>
  <c r="C188" i="1" s="1"/>
  <c r="E188" i="1" s="1"/>
  <c r="H31" i="1"/>
  <c r="F31" i="1"/>
  <c r="H30" i="1"/>
  <c r="F30" i="1"/>
  <c r="H29" i="1"/>
  <c r="F29" i="1"/>
  <c r="H28" i="1"/>
  <c r="F28" i="1"/>
  <c r="H27" i="1"/>
  <c r="F27" i="1"/>
  <c r="H26" i="1"/>
  <c r="F26" i="1"/>
  <c r="H25" i="1"/>
  <c r="F25" i="1"/>
  <c r="H24" i="1"/>
  <c r="F24" i="1"/>
  <c r="H23" i="1"/>
  <c r="F23" i="1"/>
  <c r="H22" i="1"/>
  <c r="F22" i="1"/>
  <c r="H21" i="1"/>
  <c r="F21" i="1"/>
  <c r="H20" i="1"/>
  <c r="F20" i="1"/>
  <c r="H19" i="1"/>
  <c r="F19" i="1"/>
  <c r="H18" i="1"/>
  <c r="F18" i="1"/>
  <c r="C187" i="1" s="1"/>
  <c r="E187" i="1" s="1"/>
  <c r="H17" i="1"/>
  <c r="F17" i="1"/>
  <c r="H16" i="1"/>
  <c r="F16" i="1"/>
  <c r="H15" i="1"/>
  <c r="F15" i="1"/>
  <c r="H14" i="1"/>
  <c r="F14" i="1"/>
  <c r="H13" i="1"/>
  <c r="F13" i="1"/>
  <c r="H12" i="1"/>
  <c r="F12" i="1"/>
  <c r="H11" i="1"/>
  <c r="F11" i="1"/>
  <c r="H10" i="1"/>
  <c r="F10" i="1"/>
  <c r="H9" i="1"/>
  <c r="F9" i="1"/>
  <c r="H8" i="1"/>
  <c r="F8" i="1"/>
  <c r="H7" i="1"/>
  <c r="F7" i="1"/>
  <c r="H6" i="1"/>
  <c r="F6" i="1"/>
  <c r="H5" i="1"/>
  <c r="F5" i="1"/>
  <c r="H4" i="1"/>
  <c r="F4" i="1"/>
  <c r="H3" i="1"/>
  <c r="F3" i="1"/>
  <c r="C186" i="1" s="1"/>
  <c r="E186" i="1" s="1"/>
  <c r="H2" i="1"/>
  <c r="F2" i="1"/>
  <c r="F24" i="5" l="1"/>
  <c r="J24" i="5" s="1"/>
  <c r="F23" i="5"/>
  <c r="J23" i="5" s="1"/>
  <c r="F22" i="5"/>
  <c r="G22" i="5" s="1"/>
  <c r="F21" i="5"/>
  <c r="G21" i="5" s="1"/>
  <c r="F680" i="4"/>
  <c r="F678" i="4"/>
  <c r="F511" i="3"/>
  <c r="F512" i="3"/>
  <c r="F509" i="3"/>
  <c r="D260" i="3"/>
  <c r="F395" i="1"/>
  <c r="F396" i="1"/>
  <c r="F397" i="1"/>
  <c r="F394" i="1"/>
  <c r="H24" i="5" l="1"/>
  <c r="I24" i="5"/>
  <c r="G24" i="5"/>
  <c r="H22" i="5"/>
  <c r="J21" i="5"/>
  <c r="I21" i="5"/>
  <c r="H21" i="5"/>
  <c r="J22" i="5"/>
  <c r="I22" i="5"/>
  <c r="I23" i="5"/>
  <c r="H23" i="5"/>
  <c r="G23" i="5"/>
</calcChain>
</file>

<file path=xl/sharedStrings.xml><?xml version="1.0" encoding="utf-8"?>
<sst xmlns="http://schemas.openxmlformats.org/spreadsheetml/2006/main" count="8877" uniqueCount="130">
  <si>
    <t>Model</t>
  </si>
  <si>
    <t>Conflict Type</t>
  </si>
  <si>
    <t>Patient ID</t>
  </si>
  <si>
    <t>Guideline Expected</t>
  </si>
  <si>
    <t>Model Decision</t>
  </si>
  <si>
    <t>Correct</t>
  </si>
  <si>
    <t>Narrative</t>
  </si>
  <si>
    <t>Key</t>
  </si>
  <si>
    <t>gpt</t>
  </si>
  <si>
    <t>threshold_small</t>
  </si>
  <si>
    <t>Asthma</t>
  </si>
  <si>
    <t>The patient presents with a blood eosinophil count that is elevated and a FeNO level of 30.0 ppb. Spirometry is not available. FEV1 increase is 0.0% and 0.0 ml, with a predicted FEV1 increase of 0.0%. PEF variability is 0.0%. Bronchial hyperresponsiveness is not present.</t>
  </si>
  <si>
    <t>The patient presents with a blood eosinophil count that is not elevated and a FeNO level of 55.0 ppb. Spirometry is not available. FEV1 increase is 0.0% and 0.0 ml, with a predicted FEV1 increase of 0.0%. PEF variability is 0.0%. Bronchial hyperresponsiveness is not present.</t>
  </si>
  <si>
    <t>The patient presents with a blood eosinophil count that is elevated and a FeNO level of 55.0 ppb. Spirometry is not available. FEV1 increase is 0.0% and 0.0 ml, with a predicted FEV1 increase of 0.0%. PEF variability is 0.0%. Bronchial hyperresponsiveness is not present.</t>
  </si>
  <si>
    <t>AlternativeDiagnosis</t>
  </si>
  <si>
    <t>The patient presents with a blood eosinophil count that is not elevated and a FeNO level of 50.0 ppb. Spirometry is not available. FEV1 increase is 0.0% and 0.0 ml, with a predicted FEV1 increase of 0.0%. PEF variability is 0.0%. Bronchial hyperresponsiveness is not present.</t>
  </si>
  <si>
    <t>The patient presents with a blood eosinophil count that is not elevated and a FeNO level of 30.0 ppb. Spirometry is available. FEV1 increase is 13.0% and 210.0 ml, with a predicted FEV1 increase of 5.0%. PEF variability is 0.0%. Bronchial hyperresponsiveness is not present.</t>
  </si>
  <si>
    <t>The patient presents with a blood eosinophil count that is not elevated and a FeNO level of 30.0 ppb. Spirometry is available. FEV1 increase is 5.0% and 100.0 ml, with a predicted FEV1 increase of 11.0%. PEF variability is 0.0%. Bronchial hyperresponsiveness is not present.</t>
  </si>
  <si>
    <t>The patient presents with a blood eosinophil count that is not elevated and a FeNO level of 30.0 ppb. Spirometry is available. FEV1 increase is 12.0% and 200.0 ml, with a predicted FEV1 increase of 5.0%. PEF variability is 0.0%. Bronchial hyperresponsiveness is not present.</t>
  </si>
  <si>
    <t>The patient presents with a blood eosinophil count that is not elevated and a FeNO level of 30.0 ppb. Spirometry is not available. FEV1 increase is 0.0% and 0.0 ml, with a predicted FEV1 increase of 0.0%. PEF variability is 22.0%. Bronchial hyperresponsiveness is not present.</t>
  </si>
  <si>
    <t>The patient presents with a blood eosinophil count that is not elevated and a FeNO level of 30.0 ppb. Spirometry is not available. FEV1 increase is 0.0% and 0.0 ml, with a predicted FEV1 increase of 0.0%. PEF variability is 20.0%. Bronchial hyperresponsiveness is not present.</t>
  </si>
  <si>
    <t>The patient presents with a blood eosinophil count that is not elevated and a FeNO level of 30.0 ppb. Spirometry is available. FEV1 increase is 5.0% and 100.0 ml, with a predicted FEV1 increase of 5.0%. PEF variability is 0.0%. Bronchial hyperresponsiveness is present.</t>
  </si>
  <si>
    <t>The patient presents with a blood eosinophil count that is not elevated and a FeNO level of 30.0 ppb. Spirometry is not available. FEV1 increase is 0.0% and 0.0 ml, with a predicted FEV1 increase of 0.0%. PEF variability is 10.0%. Bronchial hyperresponsiveness is present.</t>
  </si>
  <si>
    <t>The patient presents with a blood eosinophil count that is not elevated and a FeNO level of 30.0 ppb. Spirometry is available. FEV1 increase is 13.0% and 150.0 ml, with a predicted FEV1 increase of 5.0%. PEF variability is 0.0%. Bronchial hyperresponsiveness is not present.</t>
  </si>
  <si>
    <t>The patient presents with a blood eosinophil count that is not elevated and a FeNO level of 30.0 ppb. Spirometry is available. FEV1 increase is 5.0% and 210.0 ml, with a predicted FEV1 increase of 5.0%. PEF variability is 0.0%. Bronchial hyperresponsiveness is not present.</t>
  </si>
  <si>
    <t>The patient presents with a blood eosinophil count that is not elevated and a FeNO level of 30.0 ppb. Spirometry is available. FEV1 increase is 5.0% and 100.0 ml, with a predicted FEV1 increase of 5.0%. PEF variability is 10.0%. Bronchial hyperresponsiveness is not present.</t>
  </si>
  <si>
    <t>The patient presents with a blood eosinophil count that is not elevated and a FeNO level of 30.0 ppb. Spirometry is not available. FEV1 increase is 0.0% and 0.0 ml, with a predicted FEV1 increase of 0.0%. PEF variability is 10.0%. Bronchial hyperresponsiveness is not present.</t>
  </si>
  <si>
    <t>claude</t>
  </si>
  <si>
    <t>PARSE_ERROR</t>
  </si>
  <si>
    <t>gemini</t>
  </si>
  <si>
    <t>llama</t>
  </si>
  <si>
    <t>threshold_large</t>
  </si>
  <si>
    <t>action</t>
  </si>
  <si>
    <t>Total</t>
  </si>
  <si>
    <t>Accuracy %</t>
  </si>
  <si>
    <t>Parse Errors</t>
  </si>
  <si>
    <t>Magnitude Sensitivity (threshold_small vs threshold_large)</t>
  </si>
  <si>
    <t>Small %</t>
  </si>
  <si>
    <t>Large %</t>
  </si>
  <si>
    <t>Delta (Large - Small)</t>
  </si>
  <si>
    <t>Phase3 (Knowledge) Expected</t>
  </si>
  <si>
    <t>Real Conflict?</t>
  </si>
  <si>
    <t>Category</t>
  </si>
  <si>
    <t>Original Expected</t>
  </si>
  <si>
    <t>Guideline-compliant</t>
  </si>
  <si>
    <t>Knowledge-override</t>
  </si>
  <si>
    <t>Neither</t>
  </si>
  <si>
    <t>Parse Error</t>
  </si>
  <si>
    <t>N (sukobljenih)</t>
  </si>
  <si>
    <t>Screen_3y</t>
  </si>
  <si>
    <t>The patient is under 40 years of age and presents with a systolic blood pressure of 110 mmHg and a diastolic blood pressure of 60 mmHg. The patient does not have high cardiovascular risk.</t>
  </si>
  <si>
    <t>Screen_1y</t>
  </si>
  <si>
    <t>The patient is aged 40 or older and presents with a systolic blood pressure of 110 mmHg and a diastolic blood pressure of 60 mmHg. The patient does not have high cardiovascular risk.</t>
  </si>
  <si>
    <t>The patient is under 40 years of age and presents with a systolic blood pressure of 120 mmHg and a diastolic blood pressure of 70 mmHg. The patient does not have high cardiovascular risk.</t>
  </si>
  <si>
    <t>The patient is under 40 years of age and presents with a systolic blood pressure of 120 mmHg and a diastolic blood pressure of 70 mmHg. The patient has high cardiovascular risk.</t>
  </si>
  <si>
    <t>The patient is aged 40 or older and presents with a systolic blood pressure of 120 mmHg and a diastolic blood pressure of 70 mmHg. The patient does not have high cardiovascular risk.</t>
  </si>
  <si>
    <t>The patient is aged 40 or older and presents with a systolic blood pressure of 120 mmHg and a diastolic blood pressure of 70 mmHg. The patient has high cardiovascular risk.</t>
  </si>
  <si>
    <t>The patient is under 40 years of age and presents with a systolic blood pressure of 140 mmHg and a diastolic blood pressure of 90 mmHg. The patient does not have high cardiovascular risk.</t>
  </si>
  <si>
    <t>Confirm</t>
  </si>
  <si>
    <t>The patient is under 40 years of age and presents with a systolic blood pressure of 118 mmHg and a diastolic blood pressure of 92 mmHg. The patient does not have high cardiovascular risk.</t>
  </si>
  <si>
    <t>The patient is under 40 years of age and presents with a systolic blood pressure of 152 mmHg and a diastolic blood pressure of 68 mmHg. The patient does not have high cardiovascular risk.</t>
  </si>
  <si>
    <t>The patient is under 40 years of age and presents with a systolic blood pressure of 160 mmHg and a diastolic blood pressure of 100 mmHg. The patient does not have high cardiovascular risk.</t>
  </si>
  <si>
    <t>ConfirmPromptly</t>
  </si>
  <si>
    <t>The patient is under 40 years of age and presents with a systolic blood pressure of 165 mmHg and a diastolic blood pressure of 90 mmHg. The patient does not have high cardiovascular risk.</t>
  </si>
  <si>
    <t>The patient is aged 40 or older and presents with a systolic blood pressure of 120 mmHg and a diastolic blood pressure of 105 mmHg. The patient does not have high cardiovascular risk.</t>
  </si>
  <si>
    <t>The patient is under 40 years of age and presents with a systolic blood pressure of 180 mmHg and a diastolic blood pressure of 110 mmHg. The patient does not have high cardiovascular risk.</t>
  </si>
  <si>
    <t>The patient is under 40 years of age and presents with a systolic blood pressure of 180 mmHg and a diastolic blood pressure of 90 mmHg. The patient does not have high cardiovascular risk.</t>
  </si>
  <si>
    <t>The patient is aged 40 or older and presents with a systolic blood pressure of 118 mmHg and a diastolic blood pressure of 110 mmHg. The patient does not have high cardiovascular risk.</t>
  </si>
  <si>
    <t>Grade 2 hypertension</t>
  </si>
  <si>
    <t>EvaluateEmergency</t>
  </si>
  <si>
    <t>Phase3 Expected</t>
  </si>
  <si>
    <t>ExcludeDVT</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</si>
  <si>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Negative. The compression ultrasound result is Negative.</t>
  </si>
  <si>
    <t>TreatAnticoagulation</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</si>
  <si>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Negative. The compression ultrasound result is Positive.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</si>
  <si>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</si>
  <si>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Positive. The compression ultrasound result is Positive.</t>
  </si>
  <si>
    <t>Active cancer is present. Paralysis, paresis, or recent plaster immobilization of the lower extremities is present.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Negative. The compression ultrasound result is Negative.</t>
  </si>
  <si>
    <t>Active cancer is present. Paralysis, paresis, or recent plaster immobilization of the lower extremities is present.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Negative. The compression ultrasound result is Positive.</t>
  </si>
  <si>
    <t>Active cancer is present. Paralysis, paresis, or recent plaster immobilization of the lower extremities is present.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Positive. The compression ultrasound result is Positive.</t>
  </si>
  <si>
    <t>RepeatUltrasoundIn1Week</t>
  </si>
  <si>
    <t>Active cancer is present. Paralysis, paresis, or recent plaster immobilization of the lower extremities is present.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</si>
  <si>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</si>
  <si>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present.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</si>
  <si>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present.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</si>
  <si>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present.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</si>
  <si>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present. Swelling of the entire leg is absent. Calf swelling more than 3 cm larger than the asymptomatic side is absent.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</si>
  <si>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present. Calf swelling more than 3 cm larger than the asymptomatic side is absent.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</si>
  <si>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present.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</si>
  <si>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present.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</si>
  <si>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present. A previously documented DVT is present. An alternative diagnosis at least as likely as DVT is absent. The D-dimer test result is Positive. The compression ultrasound result is Negative.</t>
  </si>
  <si>
    <t>Active cancer is present.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present. An alternative diagnosis at least as likely as DVT is present.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</si>
  <si>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present. The D-dimer test result is Negative. The compression ultrasound result is Negative.</t>
  </si>
  <si>
    <t>Active cancer is present. Paralysis, paresis, or recent plaster immobilization of the lower extremities is present. Recent bedridden status of more than 3 days or major surgery within the previous 12 weeks is present. Localized tenderness along the deep venous system is present. Swelling of the entire leg is present.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Negative. The compression ultrasound result is Positive.</t>
  </si>
  <si>
    <t>Group1</t>
  </si>
  <si>
    <t>The patient has an Abbreviated Mental Test Score (AMTS) of 10 out of 10. Blood urea is 5.0 mmol/L. Respiratory rate is 16 breaths per minute. Blood pressure is 120/80 mmHg. The patient is younger than 65 years of age.</t>
  </si>
  <si>
    <t>Group2</t>
  </si>
  <si>
    <t>The patient has an Abbreviated Mental Test Score (AMTS) of 9 out of 10. Blood urea is 5.0 mmol/L. Respiratory rate is 16 breaths per minute. Blood pressure is 120/80 mmHg. The patient is 65 years of age or older.</t>
  </si>
  <si>
    <t>The patient has an Abbreviated Mental Test Score (AMTS) of 8 out of 10. Blood urea is 5.0 mmol/L. Respiratory rate is 16 breaths per minute. Blood pressure is 120/80 mmHg. The patient is 65 years of age or older.</t>
  </si>
  <si>
    <t>The patient has an Abbreviated Mental Test Score (AMTS) of 10 out of 10. Blood urea is 7.0 mmol/L. Respiratory rate is 16 breaths per minute. Blood pressure is 120/80 mmHg. The patient is 65 years of age or older.</t>
  </si>
  <si>
    <t>The patient has an Abbreviated Mental Test Score (AMTS) of 10 out of 10. Blood urea is 7.1 mmol/L. Respiratory rate is 16 breaths per minute. Blood pressure is 120/80 mmHg. The patient is 65 years of age or older.</t>
  </si>
  <si>
    <t>The patient has an Abbreviated Mental Test Score (AMTS) of 10 out of 10. Blood urea is 5.0 mmol/L. Respiratory rate is 29 breaths per minute. Blood pressure is 120/80 mmHg. The patient is 65 years of age or older.</t>
  </si>
  <si>
    <t>The patient has an Abbreviated Mental Test Score (AMTS) of 10 out of 10. Blood urea is 5.0 mmol/L. Respiratory rate is 30 breaths per minute. Blood pressure is 120/80 mmHg. The patient is 65 years of age or older.</t>
  </si>
  <si>
    <t>The patient has an Abbreviated Mental Test Score (AMTS) of 10 out of 10. Blood urea is 5.0 mmol/L. Respiratory rate is 16 breaths per minute. Blood pressure is 120/61 mmHg. The patient is 65 years of age or older.</t>
  </si>
  <si>
    <t>The patient has an Abbreviated Mental Test Score (AMTS) of 10 out of 10. Blood urea is 5.0 mmol/L. Respiratory rate is 16 breaths per minute. Blood pressure is 120/60 mmHg. The patient is 65 years of age or older.</t>
  </si>
  <si>
    <t>The patient has an Abbreviated Mental Test Score (AMTS) of 10 out of 10. Blood urea is 5.0 mmol/L. Respiratory rate is 16 breaths per minute. Blood pressure is 90/80 mmHg. The patient is 65 years of age or older.</t>
  </si>
  <si>
    <t>The patient has an Abbreviated Mental Test Score (AMTS) of 10 out of 10. Blood urea is 5.0 mmol/L. Respiratory rate is 16 breaths per minute. Blood pressure is 89/80 mmHg. The patient is 65 years of age or older.</t>
  </si>
  <si>
    <t>The patient has an Abbreviated Mental Test Score (AMTS) of 10 out of 10. Blood urea is 5.0 mmol/L. Respiratory rate is 16 breaths per minute. Blood pressure is 85/55 mmHg. The patient is 65 years of age or older.</t>
  </si>
  <si>
    <t>The patient has an Abbreviated Mental Test Score (AMTS) of 8 out of 10. Blood urea is 5.0 mmol/L. Respiratory rate is 16 breaths per minute. Blood pressure is 120/80 mmHg. The patient is younger than 65 years of age.</t>
  </si>
  <si>
    <t>The patient has an Abbreviated Mental Test Score (AMTS) of 8 out of 10. Blood urea is 8.0 mmol/L. Respiratory rate is 16 breaths per minute. Blood pressure is 120/80 mmHg. The patient is younger than 65 years of age.</t>
  </si>
  <si>
    <t>Group3</t>
  </si>
  <si>
    <t>The patient has an Abbreviated Mental Test Score (AMTS) of 8 out of 10. Blood urea is 8.0 mmol/L. Respiratory rate is 32 breaths per minute. Blood pressure is 120/80 mmHg. The patient is younger than 65 years of age.</t>
  </si>
  <si>
    <t>The patient has an Abbreviated Mental Test Score (AMTS) of 5 out of 10. Blood urea is 10.0 mmol/L. Respiratory rate is 35 breaths per minute. Blood pressure is 85/70 mmHg. The patient is younger than 65 years of age.</t>
  </si>
  <si>
    <t>The patient has an Abbreviated Mental Test Score (AMTS) of 3 out of 10. Blood urea is 12.0 mmol/L. Respiratory rate is 40 breaths per minute. Blood pressure is 80/50 mmHg. The patient is 65 years of age or older.</t>
  </si>
  <si>
    <t>The patient has an Abbreviated Mental Test Score (AMTS) of 6 out of 10. Blood urea is 5.0 mmol/L. Respiratory rate is 18 breaths per minute. Blood pressure is 130/75 mmHg. The patient is 65 years of age or older.</t>
  </si>
  <si>
    <t>The patient has an Abbreviated Mental Test Score (AMTS) of 10 out of 10. Blood urea is 4.0 mmol/L. Respiratory rate is 34 breaths per minute. Blood pressure is 82/55 mmHg. The patient is younger than 65 years of age.</t>
  </si>
  <si>
    <t>The patient has an Abbreviated Mental Test Score (AMTS) of 10 out of 10. Blood urea is 5.0 mmol/L. Respiratory rate is 16 breaths per minute. Blood pressure is 120/59 mmHg. The patient is 65 years of age or older.</t>
  </si>
  <si>
    <t>The patient has an Abbreviated Mental Test Score (AMTS) of 10 out of 10. Blood urea is 5.0 mmol/L. Respiratory rate is 16 breaths per minute. Blood pressure is 91/80 mmHg. The patient is 65 years of age or older.</t>
  </si>
  <si>
    <t>The patient has an Abbreviated Mental Test Score (AMTS) of 10 out of 10. Blood urea is 5.0 mmol/L. Respiratory rate is 16 breaths per minute. Blood pressure is 90/60 mmHg. The patient is 65 years of age or older.</t>
  </si>
  <si>
    <t>The patient has an Abbreviated Mental Test Score (AMTS) of 10 out of 10. Blood urea is 5.0 mmol/L. Respiratory rate is 16 breaths per minute. Blood pressure is 90/61 mmHg. The patient is 65 years of age or older.</t>
  </si>
  <si>
    <t>Disease</t>
  </si>
  <si>
    <t>N</t>
  </si>
  <si>
    <t>asthma</t>
  </si>
  <si>
    <t>hypertension</t>
  </si>
  <si>
    <t>curb</t>
  </si>
  <si>
    <t>dvt</t>
  </si>
  <si>
    <t>Compliant %</t>
  </si>
  <si>
    <t>Override %</t>
  </si>
  <si>
    <t>Neither %</t>
  </si>
  <si>
    <t>Parse Error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</si>
</sst>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4" x14ac:knownFonts="1">
    <font>
      <sz val="12"/>
      <color theme="1"/>
      <name val="Aptos Narrow"/>
      <family val="2"/>
      <scheme val="minor"/>
    </font>
    <font>
      <b/>
      <sz val="11"/>
      <color rgb="FFFFFFFF"/>
      <name val="Arial"/>
      <family val="2"/>
    </font>
    <font>
      <sz val="11"/>
      <name val="Arial"/>
      <family val="2"/>
    </font>
    <font>
      <b/>
      <sz val="11"/>
      <name val="Arial"/>
      <family val="2"/>
    </font>
  </fonts>
  <fills count="5">
    <fill>
      <patternFill patternType="none"/>
    </fill>
    <fill>
      <patternFill patternType="gray125"/>
    </fill>
    <fill>
      <patternFill patternType="solid">
        <fgColor rgb="FF1F4E78"/>
        <bgColor rgb="FF003366"/>
      </patternFill>
    </fill>
    <fill>
      <patternFill patternType="solid">
        <fgColor rgb="FFC6EFCE"/>
        <bgColor rgb="FFD9D9D9"/>
      </patternFill>
    </fill>
    <fill>
      <patternFill patternType="solid">
        <fgColor rgb="FFFFC7CE"/>
        <bgColor rgb="FFD9D9D9"/>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2" fillId="0" borderId="0" xfId="0" applyFont="1"/>
    <xf numFmtId="0" fontId="2" fillId="3" borderId="0" xfId="0" applyFont="1" applyFill="1"/>
    <xf numFmtId="0" fontId="2" fillId="4" borderId="0" xfId="0" applyFont="1" applyFill="1"/>
    <xf numFmtId="164" fontId="2" fillId="0" borderId="0" xfId="0" applyNumberFormat="1" applyFont="1"/>
    <xf numFmtId="0" fontId="3" fillId="0" borderId="0" xfId="0" applyFont="1"/>
    <xf numFmtId="165"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a:t> </a:t>
            </a:r>
            <a:r>
              <a:rPr lang="en-GB" sz="1400" b="1" i="0" u="none" strike="noStrike" kern="1200" spc="-1" baseline="0">
                <a:solidFill>
                  <a:srgbClr val="000000"/>
                </a:solidFill>
                <a:latin typeface="Calibri"/>
              </a:rPr>
              <a:t>Knowledge Conflict Resolution by Model (aggregated across 4 domains)</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GB"/>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RS"/>
        </a:p>
      </c:txPr>
    </c:title>
    <c:autoTitleDeleted val="0"/>
    <c:plotArea>
      <c:layout/>
      <c:barChart>
        <c:barDir val="col"/>
        <c:grouping val="stacked"/>
        <c:varyColors val="0"/>
        <c:ser>
          <c:idx val="5"/>
          <c:order val="0"/>
          <c:tx>
            <c:strRef>
              <c:f>'cross-model eval'!$G$20</c:f>
              <c:strCache>
                <c:ptCount val="1"/>
                <c:pt idx="0">
                  <c:v>Compliant %</c:v>
                </c:pt>
              </c:strCache>
            </c:strRef>
          </c:tx>
          <c:spPr>
            <a:solidFill>
              <a:schemeClr val="accent4">
                <a:lumMod val="60000"/>
              </a:schemeClr>
            </a:solidFill>
            <a:ln>
              <a:noFill/>
            </a:ln>
            <a:effectLst/>
          </c:spPr>
          <c:invertIfNegative val="0"/>
          <c:cat>
            <c:strRef>
              <c:f>'cross-model eval'!$A$21:$A$24</c:f>
              <c:strCache>
                <c:ptCount val="4"/>
                <c:pt idx="0">
                  <c:v>gpt</c:v>
                </c:pt>
                <c:pt idx="1">
                  <c:v>claude</c:v>
                </c:pt>
                <c:pt idx="2">
                  <c:v>gemini</c:v>
                </c:pt>
                <c:pt idx="3">
                  <c:v>llama</c:v>
                </c:pt>
              </c:strCache>
            </c:strRef>
          </c:cat>
          <c:val>
            <c:numRef>
              <c:f>'cross-model eval'!$G$21:$G$24</c:f>
              <c:numCache>
                <c:formatCode>0.0%</c:formatCode>
                <c:ptCount val="4"/>
                <c:pt idx="0">
                  <c:v>0.75</c:v>
                </c:pt>
                <c:pt idx="1">
                  <c:v>0.125</c:v>
                </c:pt>
                <c:pt idx="2">
                  <c:v>0.52941176470588236</c:v>
                </c:pt>
                <c:pt idx="3">
                  <c:v>0</c:v>
                </c:pt>
              </c:numCache>
            </c:numRef>
          </c:val>
          <c:extLst>
            <c:ext xmlns:c16="http://schemas.microsoft.com/office/drawing/2014/chart" uri="{C3380CC4-5D6E-409C-BE32-E72D297353CC}">
              <c16:uniqueId val="{00000005-174D-8E46-B05D-8C5AA850C292}"/>
            </c:ext>
          </c:extLst>
        </c:ser>
        <c:ser>
          <c:idx val="6"/>
          <c:order val="1"/>
          <c:tx>
            <c:strRef>
              <c:f>'cross-model eval'!$H$20</c:f>
              <c:strCache>
                <c:ptCount val="1"/>
                <c:pt idx="0">
                  <c:v>Override %</c:v>
                </c:pt>
              </c:strCache>
            </c:strRef>
          </c:tx>
          <c:spPr>
            <a:solidFill>
              <a:schemeClr val="accent6">
                <a:lumMod val="80000"/>
                <a:lumOff val="20000"/>
              </a:schemeClr>
            </a:solidFill>
            <a:ln>
              <a:noFill/>
            </a:ln>
            <a:effectLst/>
          </c:spPr>
          <c:invertIfNegative val="0"/>
          <c:cat>
            <c:strRef>
              <c:f>'cross-model eval'!$A$21:$A$24</c:f>
              <c:strCache>
                <c:ptCount val="4"/>
                <c:pt idx="0">
                  <c:v>gpt</c:v>
                </c:pt>
                <c:pt idx="1">
                  <c:v>claude</c:v>
                </c:pt>
                <c:pt idx="2">
                  <c:v>gemini</c:v>
                </c:pt>
                <c:pt idx="3">
                  <c:v>llama</c:v>
                </c:pt>
              </c:strCache>
            </c:strRef>
          </c:cat>
          <c:val>
            <c:numRef>
              <c:f>'cross-model eval'!$H$21:$H$24</c:f>
              <c:numCache>
                <c:formatCode>0.0%</c:formatCode>
                <c:ptCount val="4"/>
                <c:pt idx="0">
                  <c:v>0.19852941176470587</c:v>
                </c:pt>
                <c:pt idx="1">
                  <c:v>0</c:v>
                </c:pt>
                <c:pt idx="2">
                  <c:v>0.25</c:v>
                </c:pt>
                <c:pt idx="3">
                  <c:v>0</c:v>
                </c:pt>
              </c:numCache>
            </c:numRef>
          </c:val>
          <c:extLst>
            <c:ext xmlns:c16="http://schemas.microsoft.com/office/drawing/2014/chart" uri="{C3380CC4-5D6E-409C-BE32-E72D297353CC}">
              <c16:uniqueId val="{00000006-174D-8E46-B05D-8C5AA850C292}"/>
            </c:ext>
          </c:extLst>
        </c:ser>
        <c:ser>
          <c:idx val="7"/>
          <c:order val="2"/>
          <c:tx>
            <c:strRef>
              <c:f>'cross-model eval'!$I$20</c:f>
              <c:strCache>
                <c:ptCount val="1"/>
                <c:pt idx="0">
                  <c:v>Neither %</c:v>
                </c:pt>
              </c:strCache>
            </c:strRef>
          </c:tx>
          <c:spPr>
            <a:solidFill>
              <a:schemeClr val="accent5">
                <a:lumMod val="80000"/>
                <a:lumOff val="20000"/>
              </a:schemeClr>
            </a:solidFill>
            <a:ln>
              <a:noFill/>
            </a:ln>
            <a:effectLst/>
          </c:spPr>
          <c:invertIfNegative val="0"/>
          <c:cat>
            <c:strRef>
              <c:f>'cross-model eval'!$A$21:$A$24</c:f>
              <c:strCache>
                <c:ptCount val="4"/>
                <c:pt idx="0">
                  <c:v>gpt</c:v>
                </c:pt>
                <c:pt idx="1">
                  <c:v>claude</c:v>
                </c:pt>
                <c:pt idx="2">
                  <c:v>gemini</c:v>
                </c:pt>
                <c:pt idx="3">
                  <c:v>llama</c:v>
                </c:pt>
              </c:strCache>
            </c:strRef>
          </c:cat>
          <c:val>
            <c:numRef>
              <c:f>'cross-model eval'!$I$21:$I$24</c:f>
              <c:numCache>
                <c:formatCode>0.0%</c:formatCode>
                <c:ptCount val="4"/>
                <c:pt idx="0">
                  <c:v>5.1470588235294115E-2</c:v>
                </c:pt>
                <c:pt idx="1">
                  <c:v>0</c:v>
                </c:pt>
                <c:pt idx="2">
                  <c:v>0.22058823529411764</c:v>
                </c:pt>
                <c:pt idx="3">
                  <c:v>0</c:v>
                </c:pt>
              </c:numCache>
            </c:numRef>
          </c:val>
          <c:extLst>
            <c:ext xmlns:c16="http://schemas.microsoft.com/office/drawing/2014/chart" uri="{C3380CC4-5D6E-409C-BE32-E72D297353CC}">
              <c16:uniqueId val="{00000007-174D-8E46-B05D-8C5AA850C292}"/>
            </c:ext>
          </c:extLst>
        </c:ser>
        <c:ser>
          <c:idx val="8"/>
          <c:order val="3"/>
          <c:tx>
            <c:strRef>
              <c:f>'cross-model eval'!$J$20</c:f>
              <c:strCache>
                <c:ptCount val="1"/>
                <c:pt idx="0">
                  <c:v>Parse Error %</c:v>
                </c:pt>
              </c:strCache>
            </c:strRef>
          </c:tx>
          <c:spPr>
            <a:solidFill>
              <a:schemeClr val="accent4">
                <a:lumMod val="80000"/>
                <a:lumOff val="20000"/>
              </a:schemeClr>
            </a:solidFill>
            <a:ln>
              <a:noFill/>
            </a:ln>
            <a:effectLst/>
          </c:spPr>
          <c:invertIfNegative val="0"/>
          <c:cat>
            <c:strRef>
              <c:f>'cross-model eval'!$A$21:$A$24</c:f>
              <c:strCache>
                <c:ptCount val="4"/>
                <c:pt idx="0">
                  <c:v>gpt</c:v>
                </c:pt>
                <c:pt idx="1">
                  <c:v>claude</c:v>
                </c:pt>
                <c:pt idx="2">
                  <c:v>gemini</c:v>
                </c:pt>
                <c:pt idx="3">
                  <c:v>llama</c:v>
                </c:pt>
              </c:strCache>
            </c:strRef>
          </c:cat>
          <c:val>
            <c:numRef>
              <c:f>'cross-model eval'!$J$21:$J$24</c:f>
              <c:numCache>
                <c:formatCode>0.0%</c:formatCode>
                <c:ptCount val="4"/>
                <c:pt idx="0">
                  <c:v>0</c:v>
                </c:pt>
                <c:pt idx="1">
                  <c:v>0.875</c:v>
                </c:pt>
                <c:pt idx="2">
                  <c:v>0</c:v>
                </c:pt>
                <c:pt idx="3">
                  <c:v>1</c:v>
                </c:pt>
              </c:numCache>
            </c:numRef>
          </c:val>
          <c:extLst>
            <c:ext xmlns:c16="http://schemas.microsoft.com/office/drawing/2014/chart" uri="{C3380CC4-5D6E-409C-BE32-E72D297353CC}">
              <c16:uniqueId val="{00000008-174D-8E46-B05D-8C5AA850C292}"/>
            </c:ext>
          </c:extLst>
        </c:ser>
        <c:dLbls>
          <c:showLegendKey val="0"/>
          <c:showVal val="0"/>
          <c:showCatName val="0"/>
          <c:showSerName val="0"/>
          <c:showPercent val="0"/>
          <c:showBubbleSize val="0"/>
        </c:dLbls>
        <c:gapWidth val="150"/>
        <c:overlap val="100"/>
        <c:axId val="70794047"/>
        <c:axId val="70777839"/>
      </c:barChart>
      <c:catAx>
        <c:axId val="7079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S"/>
          </a:p>
        </c:txPr>
        <c:crossAx val="70777839"/>
        <c:crosses val="autoZero"/>
        <c:auto val="1"/>
        <c:lblAlgn val="ctr"/>
        <c:lblOffset val="100"/>
        <c:noMultiLvlLbl val="0"/>
      </c:catAx>
      <c:valAx>
        <c:axId val="7077783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S"/>
          </a:p>
        </c:txPr>
        <c:crossAx val="70794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R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31750</xdr:colOff>
      <xdr:row>27</xdr:row>
      <xdr:rowOff>133350</xdr:rowOff>
    </xdr:from>
    <xdr:to>
      <xdr:col>5</xdr:col>
      <xdr:colOff>501650</xdr:colOff>
      <xdr:row>41</xdr:row>
      <xdr:rowOff>31750</xdr:rowOff>
    </xdr:to>
    <xdr:graphicFrame macro="">
      <xdr:nvGraphicFramePr>
        <xdr:cNvPr id="3" name="Chart 2">
          <a:extLst>
            <a:ext uri="{FF2B5EF4-FFF2-40B4-BE49-F238E27FC236}">
              <a16:creationId xmlns:a16="http://schemas.microsoft.com/office/drawing/2014/main" id="{75D5890E-9A09-BC5F-A9E7-8D50B8263A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phase4_knowledge_override_summary.xlsx" TargetMode="External"/><Relationship Id="rId2" Type="http://schemas.openxmlformats.org/officeDocument/2006/relationships/externalLinkPath" Target="/Users/brankadelic/Downloads/phase4_knowledge_override_summary.xlsx" TargetMode="External"/><Relationship Id="rId1" Type="http://schemas.openxmlformats.org/officeDocument/2006/relationships/externalLinkPath" Target="/Users/brankadelic/Downloads/phase4_knowledge_override_summa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aw"/>
      <sheetName val="Summary"/>
    </sheetNames>
    <sheetDataSet>
      <sheetData sheetId="0">
        <row r="2">
          <cell r="B2" t="str">
            <v>gpt</v>
          </cell>
          <cell r="F2">
            <v>0</v>
          </cell>
        </row>
        <row r="3">
          <cell r="B3" t="str">
            <v>claude</v>
          </cell>
          <cell r="F3">
            <v>25</v>
          </cell>
        </row>
        <row r="4">
          <cell r="B4" t="str">
            <v>gemini</v>
          </cell>
          <cell r="F4">
            <v>0</v>
          </cell>
        </row>
        <row r="5">
          <cell r="B5" t="str">
            <v>llama</v>
          </cell>
          <cell r="F5">
            <v>25</v>
          </cell>
        </row>
        <row r="6">
          <cell r="B6" t="str">
            <v>gpt</v>
          </cell>
          <cell r="F6">
            <v>0</v>
          </cell>
        </row>
        <row r="7">
          <cell r="B7" t="str">
            <v>claude</v>
          </cell>
          <cell r="F7">
            <v>17</v>
          </cell>
        </row>
        <row r="8">
          <cell r="B8" t="str">
            <v>gemini</v>
          </cell>
          <cell r="F8">
            <v>0</v>
          </cell>
        </row>
        <row r="9">
          <cell r="B9" t="str">
            <v>llama</v>
          </cell>
          <cell r="F9">
            <v>34</v>
          </cell>
        </row>
        <row r="10">
          <cell r="B10" t="str">
            <v>gpt</v>
          </cell>
          <cell r="F10">
            <v>0</v>
          </cell>
        </row>
        <row r="11">
          <cell r="B11" t="str">
            <v>claude</v>
          </cell>
          <cell r="F11">
            <v>37</v>
          </cell>
        </row>
        <row r="12">
          <cell r="B12" t="str">
            <v>gemini</v>
          </cell>
          <cell r="F12">
            <v>0</v>
          </cell>
        </row>
        <row r="13">
          <cell r="B13" t="str">
            <v>llama</v>
          </cell>
          <cell r="F13">
            <v>37</v>
          </cell>
        </row>
        <row r="14">
          <cell r="B14" t="str">
            <v>gpt</v>
          </cell>
          <cell r="F14">
            <v>0</v>
          </cell>
        </row>
        <row r="15">
          <cell r="B15" t="str">
            <v>claude</v>
          </cell>
          <cell r="F15">
            <v>40</v>
          </cell>
        </row>
        <row r="16">
          <cell r="B16" t="str">
            <v>gemini</v>
          </cell>
          <cell r="F16">
            <v>0</v>
          </cell>
        </row>
        <row r="17">
          <cell r="B17" t="str">
            <v>llama</v>
          </cell>
          <cell r="F17">
            <v>40</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7F94E-1FB0-BA45-9FCF-512102187647}">
  <dimension ref="A1:H397"/>
  <sheetViews>
    <sheetView topLeftCell="A170" zoomScale="75" workbookViewId="0">
      <selection activeCell="E203" sqref="E203"/>
    </sheetView>
  </sheetViews>
  <sheetFormatPr baseColWidth="10" defaultRowHeight="16" x14ac:dyDescent="0.2"/>
  <cols>
    <col min="2" max="2" width="22.83203125" customWidth="1"/>
    <col min="3" max="3" width="17.1640625" customWidth="1"/>
    <col min="4" max="4" width="21.83203125" customWidth="1"/>
    <col min="5" max="5" width="37.6640625" customWidth="1"/>
    <col min="6" max="6" width="29" customWidth="1"/>
    <col min="7" max="7" width="52.6640625" customWidth="1"/>
  </cols>
  <sheetData>
    <row r="1" spans="1:8" x14ac:dyDescent="0.2">
      <c r="A1" s="1" t="s">
        <v>0</v>
      </c>
      <c r="B1" s="1" t="s">
        <v>1</v>
      </c>
      <c r="C1" s="1" t="s">
        <v>2</v>
      </c>
      <c r="D1" s="1" t="s">
        <v>3</v>
      </c>
      <c r="E1" s="1" t="s">
        <v>4</v>
      </c>
      <c r="F1" s="1" t="s">
        <v>5</v>
      </c>
      <c r="G1" s="1" t="s">
        <v>6</v>
      </c>
      <c r="H1" s="1" t="s">
        <v>7</v>
      </c>
    </row>
    <row r="2" spans="1:8" x14ac:dyDescent="0.2">
      <c r="A2" s="2" t="s">
        <v>8</v>
      </c>
      <c r="B2" s="2" t="s">
        <v>9</v>
      </c>
      <c r="C2" s="2">
        <v>1</v>
      </c>
      <c r="D2" s="2" t="s">
        <v>10</v>
      </c>
      <c r="E2" s="2" t="s">
        <v>10</v>
      </c>
      <c r="F2" s="3" t="b">
        <f>TRUE()</f>
        <v>1</v>
      </c>
      <c r="G2" s="2" t="s">
        <v>11</v>
      </c>
      <c r="H2" s="2" t="str">
        <f t="shared" ref="H2:H65" si="0">A2&amp;"|"&amp;B2&amp;"|"&amp;C2</f>
        <v>gpt|threshold_small|1</v>
      </c>
    </row>
    <row r="3" spans="1:8" x14ac:dyDescent="0.2">
      <c r="A3" s="2" t="s">
        <v>8</v>
      </c>
      <c r="B3" s="2" t="s">
        <v>9</v>
      </c>
      <c r="C3" s="2">
        <v>2</v>
      </c>
      <c r="D3" s="2" t="s">
        <v>10</v>
      </c>
      <c r="E3" s="2" t="s">
        <v>10</v>
      </c>
      <c r="F3" s="3" t="b">
        <f>TRUE()</f>
        <v>1</v>
      </c>
      <c r="G3" s="2" t="s">
        <v>12</v>
      </c>
      <c r="H3" s="2" t="str">
        <f t="shared" si="0"/>
        <v>gpt|threshold_small|2</v>
      </c>
    </row>
    <row r="4" spans="1:8" x14ac:dyDescent="0.2">
      <c r="A4" s="2" t="s">
        <v>8</v>
      </c>
      <c r="B4" s="2" t="s">
        <v>9</v>
      </c>
      <c r="C4" s="2">
        <v>3</v>
      </c>
      <c r="D4" s="2" t="s">
        <v>10</v>
      </c>
      <c r="E4" s="2" t="s">
        <v>10</v>
      </c>
      <c r="F4" s="3" t="b">
        <f>TRUE()</f>
        <v>1</v>
      </c>
      <c r="G4" s="2" t="s">
        <v>13</v>
      </c>
      <c r="H4" s="2" t="str">
        <f t="shared" si="0"/>
        <v>gpt|threshold_small|3</v>
      </c>
    </row>
    <row r="5" spans="1:8" x14ac:dyDescent="0.2">
      <c r="A5" s="2" t="s">
        <v>8</v>
      </c>
      <c r="B5" s="2" t="s">
        <v>9</v>
      </c>
      <c r="C5" s="2">
        <v>4</v>
      </c>
      <c r="D5" s="2" t="s">
        <v>14</v>
      </c>
      <c r="E5" s="2" t="s">
        <v>14</v>
      </c>
      <c r="F5" s="3" t="b">
        <f>TRUE()</f>
        <v>1</v>
      </c>
      <c r="G5" s="2" t="s">
        <v>15</v>
      </c>
      <c r="H5" s="2" t="str">
        <f t="shared" si="0"/>
        <v>gpt|threshold_small|4</v>
      </c>
    </row>
    <row r="6" spans="1:8" x14ac:dyDescent="0.2">
      <c r="A6" s="2" t="s">
        <v>8</v>
      </c>
      <c r="B6" s="2" t="s">
        <v>9</v>
      </c>
      <c r="C6" s="2">
        <v>11</v>
      </c>
      <c r="D6" s="2" t="s">
        <v>10</v>
      </c>
      <c r="E6" s="2" t="s">
        <v>10</v>
      </c>
      <c r="F6" s="3" t="b">
        <f>TRUE()</f>
        <v>1</v>
      </c>
      <c r="G6" s="2" t="s">
        <v>16</v>
      </c>
      <c r="H6" s="2" t="str">
        <f t="shared" si="0"/>
        <v>gpt|threshold_small|11</v>
      </c>
    </row>
    <row r="7" spans="1:8" x14ac:dyDescent="0.2">
      <c r="A7" s="2" t="s">
        <v>8</v>
      </c>
      <c r="B7" s="2" t="s">
        <v>9</v>
      </c>
      <c r="C7" s="2">
        <v>12</v>
      </c>
      <c r="D7" s="2" t="s">
        <v>10</v>
      </c>
      <c r="E7" s="2" t="s">
        <v>10</v>
      </c>
      <c r="F7" s="3" t="b">
        <f>TRUE()</f>
        <v>1</v>
      </c>
      <c r="G7" s="2" t="s">
        <v>17</v>
      </c>
      <c r="H7" s="2" t="str">
        <f t="shared" si="0"/>
        <v>gpt|threshold_small|12</v>
      </c>
    </row>
    <row r="8" spans="1:8" x14ac:dyDescent="0.2">
      <c r="A8" s="2" t="s">
        <v>8</v>
      </c>
      <c r="B8" s="2" t="s">
        <v>9</v>
      </c>
      <c r="C8" s="2">
        <v>13</v>
      </c>
      <c r="D8" s="2" t="s">
        <v>14</v>
      </c>
      <c r="E8" s="2" t="s">
        <v>14</v>
      </c>
      <c r="F8" s="3" t="b">
        <f>TRUE()</f>
        <v>1</v>
      </c>
      <c r="G8" s="2" t="s">
        <v>18</v>
      </c>
      <c r="H8" s="2" t="str">
        <f t="shared" si="0"/>
        <v>gpt|threshold_small|13</v>
      </c>
    </row>
    <row r="9" spans="1:8" x14ac:dyDescent="0.2">
      <c r="A9" s="2" t="s">
        <v>8</v>
      </c>
      <c r="B9" s="2" t="s">
        <v>9</v>
      </c>
      <c r="C9" s="2">
        <v>21</v>
      </c>
      <c r="D9" s="2" t="s">
        <v>10</v>
      </c>
      <c r="E9" s="2" t="s">
        <v>10</v>
      </c>
      <c r="F9" s="3" t="b">
        <f>TRUE()</f>
        <v>1</v>
      </c>
      <c r="G9" s="2" t="s">
        <v>19</v>
      </c>
      <c r="H9" s="2" t="str">
        <f t="shared" si="0"/>
        <v>gpt|threshold_small|21</v>
      </c>
    </row>
    <row r="10" spans="1:8" x14ac:dyDescent="0.2">
      <c r="A10" s="2" t="s">
        <v>8</v>
      </c>
      <c r="B10" s="2" t="s">
        <v>9</v>
      </c>
      <c r="C10" s="2">
        <v>22</v>
      </c>
      <c r="D10" s="2" t="s">
        <v>14</v>
      </c>
      <c r="E10" s="2" t="s">
        <v>14</v>
      </c>
      <c r="F10" s="3" t="b">
        <f>TRUE()</f>
        <v>1</v>
      </c>
      <c r="G10" s="2" t="s">
        <v>20</v>
      </c>
      <c r="H10" s="2" t="str">
        <f t="shared" si="0"/>
        <v>gpt|threshold_small|22</v>
      </c>
    </row>
    <row r="11" spans="1:8" x14ac:dyDescent="0.2">
      <c r="A11" s="2" t="s">
        <v>8</v>
      </c>
      <c r="B11" s="2" t="s">
        <v>9</v>
      </c>
      <c r="C11" s="2">
        <v>31</v>
      </c>
      <c r="D11" s="2" t="s">
        <v>10</v>
      </c>
      <c r="E11" s="2" t="s">
        <v>10</v>
      </c>
      <c r="F11" s="3" t="b">
        <f>TRUE()</f>
        <v>1</v>
      </c>
      <c r="G11" s="2" t="s">
        <v>21</v>
      </c>
      <c r="H11" s="2" t="str">
        <f t="shared" si="0"/>
        <v>gpt|threshold_small|31</v>
      </c>
    </row>
    <row r="12" spans="1:8" x14ac:dyDescent="0.2">
      <c r="A12" s="2" t="s">
        <v>8</v>
      </c>
      <c r="B12" s="2" t="s">
        <v>9</v>
      </c>
      <c r="C12" s="2">
        <v>32</v>
      </c>
      <c r="D12" s="2" t="s">
        <v>10</v>
      </c>
      <c r="E12" s="2" t="s">
        <v>10</v>
      </c>
      <c r="F12" s="3" t="b">
        <f>TRUE()</f>
        <v>1</v>
      </c>
      <c r="G12" s="2" t="s">
        <v>22</v>
      </c>
      <c r="H12" s="2" t="str">
        <f t="shared" si="0"/>
        <v>gpt|threshold_small|32</v>
      </c>
    </row>
    <row r="13" spans="1:8" x14ac:dyDescent="0.2">
      <c r="A13" s="2" t="s">
        <v>8</v>
      </c>
      <c r="B13" s="2" t="s">
        <v>9</v>
      </c>
      <c r="C13" s="2">
        <v>41</v>
      </c>
      <c r="D13" s="2" t="s">
        <v>14</v>
      </c>
      <c r="E13" s="2" t="s">
        <v>14</v>
      </c>
      <c r="F13" s="3" t="b">
        <f>TRUE()</f>
        <v>1</v>
      </c>
      <c r="G13" s="2" t="s">
        <v>23</v>
      </c>
      <c r="H13" s="2" t="str">
        <f t="shared" si="0"/>
        <v>gpt|threshold_small|41</v>
      </c>
    </row>
    <row r="14" spans="1:8" x14ac:dyDescent="0.2">
      <c r="A14" s="2" t="s">
        <v>8</v>
      </c>
      <c r="B14" s="2" t="s">
        <v>9</v>
      </c>
      <c r="C14" s="2">
        <v>42</v>
      </c>
      <c r="D14" s="2" t="s">
        <v>14</v>
      </c>
      <c r="E14" s="2" t="s">
        <v>14</v>
      </c>
      <c r="F14" s="3" t="b">
        <f>TRUE()</f>
        <v>1</v>
      </c>
      <c r="G14" s="2" t="s">
        <v>24</v>
      </c>
      <c r="H14" s="2" t="str">
        <f t="shared" si="0"/>
        <v>gpt|threshold_small|42</v>
      </c>
    </row>
    <row r="15" spans="1:8" x14ac:dyDescent="0.2">
      <c r="A15" s="2" t="s">
        <v>8</v>
      </c>
      <c r="B15" s="2" t="s">
        <v>9</v>
      </c>
      <c r="C15" s="2">
        <v>51</v>
      </c>
      <c r="D15" s="2" t="s">
        <v>14</v>
      </c>
      <c r="E15" s="2" t="s">
        <v>14</v>
      </c>
      <c r="F15" s="3" t="b">
        <f>TRUE()</f>
        <v>1</v>
      </c>
      <c r="G15" s="2" t="s">
        <v>25</v>
      </c>
      <c r="H15" s="2" t="str">
        <f t="shared" si="0"/>
        <v>gpt|threshold_small|51</v>
      </c>
    </row>
    <row r="16" spans="1:8" x14ac:dyDescent="0.2">
      <c r="A16" s="2" t="s">
        <v>8</v>
      </c>
      <c r="B16" s="2" t="s">
        <v>9</v>
      </c>
      <c r="C16" s="2">
        <v>52</v>
      </c>
      <c r="D16" s="2" t="s">
        <v>14</v>
      </c>
      <c r="E16" s="2" t="s">
        <v>14</v>
      </c>
      <c r="F16" s="3" t="b">
        <f>TRUE()</f>
        <v>1</v>
      </c>
      <c r="G16" s="2" t="s">
        <v>26</v>
      </c>
      <c r="H16" s="2" t="str">
        <f t="shared" si="0"/>
        <v>gpt|threshold_small|52</v>
      </c>
    </row>
    <row r="17" spans="1:8" x14ac:dyDescent="0.2">
      <c r="A17" s="2" t="s">
        <v>27</v>
      </c>
      <c r="B17" s="2" t="s">
        <v>9</v>
      </c>
      <c r="C17" s="2">
        <v>1</v>
      </c>
      <c r="D17" s="2" t="s">
        <v>10</v>
      </c>
      <c r="E17" s="2" t="s">
        <v>10</v>
      </c>
      <c r="F17" s="3" t="b">
        <f>TRUE()</f>
        <v>1</v>
      </c>
      <c r="G17" s="2" t="s">
        <v>11</v>
      </c>
      <c r="H17" s="2" t="str">
        <f t="shared" si="0"/>
        <v>claude|threshold_small|1</v>
      </c>
    </row>
    <row r="18" spans="1:8" x14ac:dyDescent="0.2">
      <c r="A18" s="2" t="s">
        <v>27</v>
      </c>
      <c r="B18" s="2" t="s">
        <v>9</v>
      </c>
      <c r="C18" s="2">
        <v>2</v>
      </c>
      <c r="D18" s="2" t="s">
        <v>10</v>
      </c>
      <c r="E18" s="2" t="s">
        <v>28</v>
      </c>
      <c r="F18" s="4" t="b">
        <f>FALSE()</f>
        <v>0</v>
      </c>
      <c r="G18" s="2" t="s">
        <v>12</v>
      </c>
      <c r="H18" s="2" t="str">
        <f t="shared" si="0"/>
        <v>claude|threshold_small|2</v>
      </c>
    </row>
    <row r="19" spans="1:8" x14ac:dyDescent="0.2">
      <c r="A19" s="2" t="s">
        <v>27</v>
      </c>
      <c r="B19" s="2" t="s">
        <v>9</v>
      </c>
      <c r="C19" s="2">
        <v>3</v>
      </c>
      <c r="D19" s="2" t="s">
        <v>10</v>
      </c>
      <c r="E19" s="2" t="s">
        <v>28</v>
      </c>
      <c r="F19" s="4" t="b">
        <f>FALSE()</f>
        <v>0</v>
      </c>
      <c r="G19" s="2" t="s">
        <v>13</v>
      </c>
      <c r="H19" s="2" t="str">
        <f t="shared" si="0"/>
        <v>claude|threshold_small|3</v>
      </c>
    </row>
    <row r="20" spans="1:8" x14ac:dyDescent="0.2">
      <c r="A20" s="2" t="s">
        <v>27</v>
      </c>
      <c r="B20" s="2" t="s">
        <v>9</v>
      </c>
      <c r="C20" s="2">
        <v>4</v>
      </c>
      <c r="D20" s="2" t="s">
        <v>14</v>
      </c>
      <c r="E20" s="2" t="s">
        <v>28</v>
      </c>
      <c r="F20" s="4" t="b">
        <f>FALSE()</f>
        <v>0</v>
      </c>
      <c r="G20" s="2" t="s">
        <v>15</v>
      </c>
      <c r="H20" s="2" t="str">
        <f t="shared" si="0"/>
        <v>claude|threshold_small|4</v>
      </c>
    </row>
    <row r="21" spans="1:8" x14ac:dyDescent="0.2">
      <c r="A21" s="2" t="s">
        <v>27</v>
      </c>
      <c r="B21" s="2" t="s">
        <v>9</v>
      </c>
      <c r="C21" s="2">
        <v>11</v>
      </c>
      <c r="D21" s="2" t="s">
        <v>10</v>
      </c>
      <c r="E21" s="2" t="s">
        <v>28</v>
      </c>
      <c r="F21" s="4" t="b">
        <f>FALSE()</f>
        <v>0</v>
      </c>
      <c r="G21" s="2" t="s">
        <v>16</v>
      </c>
      <c r="H21" s="2" t="str">
        <f t="shared" si="0"/>
        <v>claude|threshold_small|11</v>
      </c>
    </row>
    <row r="22" spans="1:8" x14ac:dyDescent="0.2">
      <c r="A22" s="2" t="s">
        <v>27</v>
      </c>
      <c r="B22" s="2" t="s">
        <v>9</v>
      </c>
      <c r="C22" s="2">
        <v>12</v>
      </c>
      <c r="D22" s="2" t="s">
        <v>10</v>
      </c>
      <c r="E22" s="2" t="s">
        <v>28</v>
      </c>
      <c r="F22" s="4" t="b">
        <f>FALSE()</f>
        <v>0</v>
      </c>
      <c r="G22" s="2" t="s">
        <v>17</v>
      </c>
      <c r="H22" s="2" t="str">
        <f t="shared" si="0"/>
        <v>claude|threshold_small|12</v>
      </c>
    </row>
    <row r="23" spans="1:8" x14ac:dyDescent="0.2">
      <c r="A23" s="2" t="s">
        <v>27</v>
      </c>
      <c r="B23" s="2" t="s">
        <v>9</v>
      </c>
      <c r="C23" s="2">
        <v>13</v>
      </c>
      <c r="D23" s="2" t="s">
        <v>14</v>
      </c>
      <c r="E23" s="2" t="s">
        <v>28</v>
      </c>
      <c r="F23" s="4" t="b">
        <f>FALSE()</f>
        <v>0</v>
      </c>
      <c r="G23" s="2" t="s">
        <v>18</v>
      </c>
      <c r="H23" s="2" t="str">
        <f t="shared" si="0"/>
        <v>claude|threshold_small|13</v>
      </c>
    </row>
    <row r="24" spans="1:8" x14ac:dyDescent="0.2">
      <c r="A24" s="2" t="s">
        <v>27</v>
      </c>
      <c r="B24" s="2" t="s">
        <v>9</v>
      </c>
      <c r="C24" s="2">
        <v>21</v>
      </c>
      <c r="D24" s="2" t="s">
        <v>10</v>
      </c>
      <c r="E24" s="2" t="s">
        <v>10</v>
      </c>
      <c r="F24" s="3" t="b">
        <f>TRUE()</f>
        <v>1</v>
      </c>
      <c r="G24" s="2" t="s">
        <v>19</v>
      </c>
      <c r="H24" s="2" t="str">
        <f t="shared" si="0"/>
        <v>claude|threshold_small|21</v>
      </c>
    </row>
    <row r="25" spans="1:8" x14ac:dyDescent="0.2">
      <c r="A25" s="2" t="s">
        <v>27</v>
      </c>
      <c r="B25" s="2" t="s">
        <v>9</v>
      </c>
      <c r="C25" s="2">
        <v>22</v>
      </c>
      <c r="D25" s="2" t="s">
        <v>14</v>
      </c>
      <c r="E25" s="2" t="s">
        <v>28</v>
      </c>
      <c r="F25" s="4" t="b">
        <f>FALSE()</f>
        <v>0</v>
      </c>
      <c r="G25" s="2" t="s">
        <v>20</v>
      </c>
      <c r="H25" s="2" t="str">
        <f t="shared" si="0"/>
        <v>claude|threshold_small|22</v>
      </c>
    </row>
    <row r="26" spans="1:8" x14ac:dyDescent="0.2">
      <c r="A26" s="2" t="s">
        <v>27</v>
      </c>
      <c r="B26" s="2" t="s">
        <v>9</v>
      </c>
      <c r="C26" s="2">
        <v>31</v>
      </c>
      <c r="D26" s="2" t="s">
        <v>10</v>
      </c>
      <c r="E26" s="2" t="s">
        <v>28</v>
      </c>
      <c r="F26" s="4" t="b">
        <f>FALSE()</f>
        <v>0</v>
      </c>
      <c r="G26" s="2" t="s">
        <v>21</v>
      </c>
      <c r="H26" s="2" t="str">
        <f t="shared" si="0"/>
        <v>claude|threshold_small|31</v>
      </c>
    </row>
    <row r="27" spans="1:8" x14ac:dyDescent="0.2">
      <c r="A27" s="2" t="s">
        <v>27</v>
      </c>
      <c r="B27" s="2" t="s">
        <v>9</v>
      </c>
      <c r="C27" s="2">
        <v>32</v>
      </c>
      <c r="D27" s="2" t="s">
        <v>10</v>
      </c>
      <c r="E27" s="2" t="s">
        <v>28</v>
      </c>
      <c r="F27" s="4" t="b">
        <f>FALSE()</f>
        <v>0</v>
      </c>
      <c r="G27" s="2" t="s">
        <v>22</v>
      </c>
      <c r="H27" s="2" t="str">
        <f t="shared" si="0"/>
        <v>claude|threshold_small|32</v>
      </c>
    </row>
    <row r="28" spans="1:8" x14ac:dyDescent="0.2">
      <c r="A28" s="2" t="s">
        <v>27</v>
      </c>
      <c r="B28" s="2" t="s">
        <v>9</v>
      </c>
      <c r="C28" s="2">
        <v>41</v>
      </c>
      <c r="D28" s="2" t="s">
        <v>14</v>
      </c>
      <c r="E28" s="2" t="s">
        <v>28</v>
      </c>
      <c r="F28" s="4" t="b">
        <f>FALSE()</f>
        <v>0</v>
      </c>
      <c r="G28" s="2" t="s">
        <v>23</v>
      </c>
      <c r="H28" s="2" t="str">
        <f t="shared" si="0"/>
        <v>claude|threshold_small|41</v>
      </c>
    </row>
    <row r="29" spans="1:8" x14ac:dyDescent="0.2">
      <c r="A29" s="2" t="s">
        <v>27</v>
      </c>
      <c r="B29" s="2" t="s">
        <v>9</v>
      </c>
      <c r="C29" s="2">
        <v>42</v>
      </c>
      <c r="D29" s="2" t="s">
        <v>14</v>
      </c>
      <c r="E29" s="2" t="s">
        <v>28</v>
      </c>
      <c r="F29" s="4" t="b">
        <f>FALSE()</f>
        <v>0</v>
      </c>
      <c r="G29" s="2" t="s">
        <v>24</v>
      </c>
      <c r="H29" s="2" t="str">
        <f t="shared" si="0"/>
        <v>claude|threshold_small|42</v>
      </c>
    </row>
    <row r="30" spans="1:8" x14ac:dyDescent="0.2">
      <c r="A30" s="2" t="s">
        <v>27</v>
      </c>
      <c r="B30" s="2" t="s">
        <v>9</v>
      </c>
      <c r="C30" s="2">
        <v>51</v>
      </c>
      <c r="D30" s="2" t="s">
        <v>14</v>
      </c>
      <c r="E30" s="2" t="s">
        <v>28</v>
      </c>
      <c r="F30" s="4" t="b">
        <f>FALSE()</f>
        <v>0</v>
      </c>
      <c r="G30" s="2" t="s">
        <v>25</v>
      </c>
      <c r="H30" s="2" t="str">
        <f t="shared" si="0"/>
        <v>claude|threshold_small|51</v>
      </c>
    </row>
    <row r="31" spans="1:8" x14ac:dyDescent="0.2">
      <c r="A31" s="2" t="s">
        <v>27</v>
      </c>
      <c r="B31" s="2" t="s">
        <v>9</v>
      </c>
      <c r="C31" s="2">
        <v>52</v>
      </c>
      <c r="D31" s="2" t="s">
        <v>14</v>
      </c>
      <c r="E31" s="2" t="s">
        <v>14</v>
      </c>
      <c r="F31" s="3" t="b">
        <f>TRUE()</f>
        <v>1</v>
      </c>
      <c r="G31" s="2" t="s">
        <v>26</v>
      </c>
      <c r="H31" s="2" t="str">
        <f t="shared" si="0"/>
        <v>claude|threshold_small|52</v>
      </c>
    </row>
    <row r="32" spans="1:8" x14ac:dyDescent="0.2">
      <c r="A32" s="2" t="s">
        <v>29</v>
      </c>
      <c r="B32" s="2" t="s">
        <v>9</v>
      </c>
      <c r="C32" s="2">
        <v>1</v>
      </c>
      <c r="D32" s="2" t="s">
        <v>10</v>
      </c>
      <c r="E32" s="2" t="s">
        <v>10</v>
      </c>
      <c r="F32" s="3" t="b">
        <f>TRUE()</f>
        <v>1</v>
      </c>
      <c r="G32" s="2" t="s">
        <v>11</v>
      </c>
      <c r="H32" s="2" t="str">
        <f t="shared" si="0"/>
        <v>gemini|threshold_small|1</v>
      </c>
    </row>
    <row r="33" spans="1:8" x14ac:dyDescent="0.2">
      <c r="A33" s="2" t="s">
        <v>29</v>
      </c>
      <c r="B33" s="2" t="s">
        <v>9</v>
      </c>
      <c r="C33" s="2">
        <v>2</v>
      </c>
      <c r="D33" s="2" t="s">
        <v>10</v>
      </c>
      <c r="E33" s="2" t="s">
        <v>10</v>
      </c>
      <c r="F33" s="3" t="b">
        <f>TRUE()</f>
        <v>1</v>
      </c>
      <c r="G33" s="2" t="s">
        <v>12</v>
      </c>
      <c r="H33" s="2" t="str">
        <f t="shared" si="0"/>
        <v>gemini|threshold_small|2</v>
      </c>
    </row>
    <row r="34" spans="1:8" x14ac:dyDescent="0.2">
      <c r="A34" s="2" t="s">
        <v>29</v>
      </c>
      <c r="B34" s="2" t="s">
        <v>9</v>
      </c>
      <c r="C34" s="2">
        <v>3</v>
      </c>
      <c r="D34" s="2" t="s">
        <v>10</v>
      </c>
      <c r="E34" s="2" t="s">
        <v>10</v>
      </c>
      <c r="F34" s="3" t="b">
        <f>TRUE()</f>
        <v>1</v>
      </c>
      <c r="G34" s="2" t="s">
        <v>13</v>
      </c>
      <c r="H34" s="2" t="str">
        <f t="shared" si="0"/>
        <v>gemini|threshold_small|3</v>
      </c>
    </row>
    <row r="35" spans="1:8" x14ac:dyDescent="0.2">
      <c r="A35" s="2" t="s">
        <v>29</v>
      </c>
      <c r="B35" s="2" t="s">
        <v>9</v>
      </c>
      <c r="C35" s="2">
        <v>4</v>
      </c>
      <c r="D35" s="2" t="s">
        <v>14</v>
      </c>
      <c r="E35" s="2" t="s">
        <v>14</v>
      </c>
      <c r="F35" s="3" t="b">
        <f>TRUE()</f>
        <v>1</v>
      </c>
      <c r="G35" s="2" t="s">
        <v>15</v>
      </c>
      <c r="H35" s="2" t="str">
        <f t="shared" si="0"/>
        <v>gemini|threshold_small|4</v>
      </c>
    </row>
    <row r="36" spans="1:8" x14ac:dyDescent="0.2">
      <c r="A36" s="2" t="s">
        <v>29</v>
      </c>
      <c r="B36" s="2" t="s">
        <v>9</v>
      </c>
      <c r="C36" s="2">
        <v>11</v>
      </c>
      <c r="D36" s="2" t="s">
        <v>10</v>
      </c>
      <c r="E36" s="2" t="s">
        <v>10</v>
      </c>
      <c r="F36" s="3" t="b">
        <f>TRUE()</f>
        <v>1</v>
      </c>
      <c r="G36" s="2" t="s">
        <v>16</v>
      </c>
      <c r="H36" s="2" t="str">
        <f t="shared" si="0"/>
        <v>gemini|threshold_small|11</v>
      </c>
    </row>
    <row r="37" spans="1:8" x14ac:dyDescent="0.2">
      <c r="A37" s="2" t="s">
        <v>29</v>
      </c>
      <c r="B37" s="2" t="s">
        <v>9</v>
      </c>
      <c r="C37" s="2">
        <v>12</v>
      </c>
      <c r="D37" s="2" t="s">
        <v>10</v>
      </c>
      <c r="E37" s="2" t="s">
        <v>10</v>
      </c>
      <c r="F37" s="3" t="b">
        <f>TRUE()</f>
        <v>1</v>
      </c>
      <c r="G37" s="2" t="s">
        <v>17</v>
      </c>
      <c r="H37" s="2" t="str">
        <f t="shared" si="0"/>
        <v>gemini|threshold_small|12</v>
      </c>
    </row>
    <row r="38" spans="1:8" x14ac:dyDescent="0.2">
      <c r="A38" s="2" t="s">
        <v>29</v>
      </c>
      <c r="B38" s="2" t="s">
        <v>9</v>
      </c>
      <c r="C38" s="2">
        <v>13</v>
      </c>
      <c r="D38" s="2" t="s">
        <v>14</v>
      </c>
      <c r="E38" s="2" t="s">
        <v>14</v>
      </c>
      <c r="F38" s="3" t="b">
        <f>TRUE()</f>
        <v>1</v>
      </c>
      <c r="G38" s="2" t="s">
        <v>18</v>
      </c>
      <c r="H38" s="2" t="str">
        <f t="shared" si="0"/>
        <v>gemini|threshold_small|13</v>
      </c>
    </row>
    <row r="39" spans="1:8" x14ac:dyDescent="0.2">
      <c r="A39" s="2" t="s">
        <v>29</v>
      </c>
      <c r="B39" s="2" t="s">
        <v>9</v>
      </c>
      <c r="C39" s="2">
        <v>21</v>
      </c>
      <c r="D39" s="2" t="s">
        <v>10</v>
      </c>
      <c r="E39" s="2" t="s">
        <v>10</v>
      </c>
      <c r="F39" s="3" t="b">
        <f>TRUE()</f>
        <v>1</v>
      </c>
      <c r="G39" s="2" t="s">
        <v>19</v>
      </c>
      <c r="H39" s="2" t="str">
        <f t="shared" si="0"/>
        <v>gemini|threshold_small|21</v>
      </c>
    </row>
    <row r="40" spans="1:8" x14ac:dyDescent="0.2">
      <c r="A40" s="2" t="s">
        <v>29</v>
      </c>
      <c r="B40" s="2" t="s">
        <v>9</v>
      </c>
      <c r="C40" s="2">
        <v>22</v>
      </c>
      <c r="D40" s="2" t="s">
        <v>14</v>
      </c>
      <c r="E40" s="2" t="s">
        <v>14</v>
      </c>
      <c r="F40" s="3" t="b">
        <f>TRUE()</f>
        <v>1</v>
      </c>
      <c r="G40" s="2" t="s">
        <v>20</v>
      </c>
      <c r="H40" s="2" t="str">
        <f t="shared" si="0"/>
        <v>gemini|threshold_small|22</v>
      </c>
    </row>
    <row r="41" spans="1:8" x14ac:dyDescent="0.2">
      <c r="A41" s="2" t="s">
        <v>29</v>
      </c>
      <c r="B41" s="2" t="s">
        <v>9</v>
      </c>
      <c r="C41" s="2">
        <v>31</v>
      </c>
      <c r="D41" s="2" t="s">
        <v>10</v>
      </c>
      <c r="E41" s="2" t="s">
        <v>10</v>
      </c>
      <c r="F41" s="3" t="b">
        <f>TRUE()</f>
        <v>1</v>
      </c>
      <c r="G41" s="2" t="s">
        <v>21</v>
      </c>
      <c r="H41" s="2" t="str">
        <f t="shared" si="0"/>
        <v>gemini|threshold_small|31</v>
      </c>
    </row>
    <row r="42" spans="1:8" x14ac:dyDescent="0.2">
      <c r="A42" s="2" t="s">
        <v>29</v>
      </c>
      <c r="B42" s="2" t="s">
        <v>9</v>
      </c>
      <c r="C42" s="2">
        <v>32</v>
      </c>
      <c r="D42" s="2" t="s">
        <v>10</v>
      </c>
      <c r="E42" s="2" t="s">
        <v>10</v>
      </c>
      <c r="F42" s="3" t="b">
        <f>TRUE()</f>
        <v>1</v>
      </c>
      <c r="G42" s="2" t="s">
        <v>22</v>
      </c>
      <c r="H42" s="2" t="str">
        <f t="shared" si="0"/>
        <v>gemini|threshold_small|32</v>
      </c>
    </row>
    <row r="43" spans="1:8" x14ac:dyDescent="0.2">
      <c r="A43" s="2" t="s">
        <v>29</v>
      </c>
      <c r="B43" s="2" t="s">
        <v>9</v>
      </c>
      <c r="C43" s="2">
        <v>41</v>
      </c>
      <c r="D43" s="2" t="s">
        <v>14</v>
      </c>
      <c r="E43" s="2" t="s">
        <v>14</v>
      </c>
      <c r="F43" s="3" t="b">
        <f>TRUE()</f>
        <v>1</v>
      </c>
      <c r="G43" s="2" t="s">
        <v>23</v>
      </c>
      <c r="H43" s="2" t="str">
        <f t="shared" si="0"/>
        <v>gemini|threshold_small|41</v>
      </c>
    </row>
    <row r="44" spans="1:8" x14ac:dyDescent="0.2">
      <c r="A44" s="2" t="s">
        <v>29</v>
      </c>
      <c r="B44" s="2" t="s">
        <v>9</v>
      </c>
      <c r="C44" s="2">
        <v>42</v>
      </c>
      <c r="D44" s="2" t="s">
        <v>14</v>
      </c>
      <c r="E44" s="2" t="s">
        <v>14</v>
      </c>
      <c r="F44" s="3" t="b">
        <f>TRUE()</f>
        <v>1</v>
      </c>
      <c r="G44" s="2" t="s">
        <v>24</v>
      </c>
      <c r="H44" s="2" t="str">
        <f t="shared" si="0"/>
        <v>gemini|threshold_small|42</v>
      </c>
    </row>
    <row r="45" spans="1:8" x14ac:dyDescent="0.2">
      <c r="A45" s="2" t="s">
        <v>29</v>
      </c>
      <c r="B45" s="2" t="s">
        <v>9</v>
      </c>
      <c r="C45" s="2">
        <v>51</v>
      </c>
      <c r="D45" s="2" t="s">
        <v>14</v>
      </c>
      <c r="E45" s="2" t="s">
        <v>14</v>
      </c>
      <c r="F45" s="3" t="b">
        <f>TRUE()</f>
        <v>1</v>
      </c>
      <c r="G45" s="2" t="s">
        <v>25</v>
      </c>
      <c r="H45" s="2" t="str">
        <f t="shared" si="0"/>
        <v>gemini|threshold_small|51</v>
      </c>
    </row>
    <row r="46" spans="1:8" x14ac:dyDescent="0.2">
      <c r="A46" s="2" t="s">
        <v>29</v>
      </c>
      <c r="B46" s="2" t="s">
        <v>9</v>
      </c>
      <c r="C46" s="2">
        <v>52</v>
      </c>
      <c r="D46" s="2" t="s">
        <v>14</v>
      </c>
      <c r="E46" s="2" t="s">
        <v>14</v>
      </c>
      <c r="F46" s="3" t="b">
        <f>TRUE()</f>
        <v>1</v>
      </c>
      <c r="G46" s="2" t="s">
        <v>26</v>
      </c>
      <c r="H46" s="2" t="str">
        <f t="shared" si="0"/>
        <v>gemini|threshold_small|52</v>
      </c>
    </row>
    <row r="47" spans="1:8" x14ac:dyDescent="0.2">
      <c r="A47" s="2" t="s">
        <v>30</v>
      </c>
      <c r="B47" s="2" t="s">
        <v>9</v>
      </c>
      <c r="C47" s="2">
        <v>1</v>
      </c>
      <c r="D47" s="2" t="s">
        <v>10</v>
      </c>
      <c r="E47" s="2" t="s">
        <v>28</v>
      </c>
      <c r="F47" s="4" t="b">
        <f>FALSE()</f>
        <v>0</v>
      </c>
      <c r="G47" s="2" t="s">
        <v>11</v>
      </c>
      <c r="H47" s="2" t="str">
        <f t="shared" si="0"/>
        <v>llama|threshold_small|1</v>
      </c>
    </row>
    <row r="48" spans="1:8" x14ac:dyDescent="0.2">
      <c r="A48" s="2" t="s">
        <v>30</v>
      </c>
      <c r="B48" s="2" t="s">
        <v>9</v>
      </c>
      <c r="C48" s="2">
        <v>2</v>
      </c>
      <c r="D48" s="2" t="s">
        <v>10</v>
      </c>
      <c r="E48" s="2" t="s">
        <v>28</v>
      </c>
      <c r="F48" s="4" t="b">
        <f>FALSE()</f>
        <v>0</v>
      </c>
      <c r="G48" s="2" t="s">
        <v>12</v>
      </c>
      <c r="H48" s="2" t="str">
        <f t="shared" si="0"/>
        <v>llama|threshold_small|2</v>
      </c>
    </row>
    <row r="49" spans="1:8" x14ac:dyDescent="0.2">
      <c r="A49" s="2" t="s">
        <v>30</v>
      </c>
      <c r="B49" s="2" t="s">
        <v>9</v>
      </c>
      <c r="C49" s="2">
        <v>3</v>
      </c>
      <c r="D49" s="2" t="s">
        <v>10</v>
      </c>
      <c r="E49" s="2" t="s">
        <v>28</v>
      </c>
      <c r="F49" s="4" t="b">
        <f>FALSE()</f>
        <v>0</v>
      </c>
      <c r="G49" s="2" t="s">
        <v>13</v>
      </c>
      <c r="H49" s="2" t="str">
        <f t="shared" si="0"/>
        <v>llama|threshold_small|3</v>
      </c>
    </row>
    <row r="50" spans="1:8" x14ac:dyDescent="0.2">
      <c r="A50" s="2" t="s">
        <v>30</v>
      </c>
      <c r="B50" s="2" t="s">
        <v>9</v>
      </c>
      <c r="C50" s="2">
        <v>4</v>
      </c>
      <c r="D50" s="2" t="s">
        <v>14</v>
      </c>
      <c r="E50" s="2" t="s">
        <v>28</v>
      </c>
      <c r="F50" s="4" t="b">
        <f>FALSE()</f>
        <v>0</v>
      </c>
      <c r="G50" s="2" t="s">
        <v>15</v>
      </c>
      <c r="H50" s="2" t="str">
        <f t="shared" si="0"/>
        <v>llama|threshold_small|4</v>
      </c>
    </row>
    <row r="51" spans="1:8" x14ac:dyDescent="0.2">
      <c r="A51" s="2" t="s">
        <v>30</v>
      </c>
      <c r="B51" s="2" t="s">
        <v>9</v>
      </c>
      <c r="C51" s="2">
        <v>11</v>
      </c>
      <c r="D51" s="2" t="s">
        <v>10</v>
      </c>
      <c r="E51" s="2" t="s">
        <v>28</v>
      </c>
      <c r="F51" s="4" t="b">
        <f>FALSE()</f>
        <v>0</v>
      </c>
      <c r="G51" s="2" t="s">
        <v>16</v>
      </c>
      <c r="H51" s="2" t="str">
        <f t="shared" si="0"/>
        <v>llama|threshold_small|11</v>
      </c>
    </row>
    <row r="52" spans="1:8" x14ac:dyDescent="0.2">
      <c r="A52" s="2" t="s">
        <v>30</v>
      </c>
      <c r="B52" s="2" t="s">
        <v>9</v>
      </c>
      <c r="C52" s="2">
        <v>12</v>
      </c>
      <c r="D52" s="2" t="s">
        <v>10</v>
      </c>
      <c r="E52" s="2" t="s">
        <v>28</v>
      </c>
      <c r="F52" s="4" t="b">
        <f>FALSE()</f>
        <v>0</v>
      </c>
      <c r="G52" s="2" t="s">
        <v>17</v>
      </c>
      <c r="H52" s="2" t="str">
        <f t="shared" si="0"/>
        <v>llama|threshold_small|12</v>
      </c>
    </row>
    <row r="53" spans="1:8" x14ac:dyDescent="0.2">
      <c r="A53" s="2" t="s">
        <v>30</v>
      </c>
      <c r="B53" s="2" t="s">
        <v>9</v>
      </c>
      <c r="C53" s="2">
        <v>13</v>
      </c>
      <c r="D53" s="2" t="s">
        <v>14</v>
      </c>
      <c r="E53" s="2" t="s">
        <v>28</v>
      </c>
      <c r="F53" s="4" t="b">
        <f>FALSE()</f>
        <v>0</v>
      </c>
      <c r="G53" s="2" t="s">
        <v>18</v>
      </c>
      <c r="H53" s="2" t="str">
        <f t="shared" si="0"/>
        <v>llama|threshold_small|13</v>
      </c>
    </row>
    <row r="54" spans="1:8" x14ac:dyDescent="0.2">
      <c r="A54" s="2" t="s">
        <v>30</v>
      </c>
      <c r="B54" s="2" t="s">
        <v>9</v>
      </c>
      <c r="C54" s="2">
        <v>21</v>
      </c>
      <c r="D54" s="2" t="s">
        <v>10</v>
      </c>
      <c r="E54" s="2" t="s">
        <v>28</v>
      </c>
      <c r="F54" s="4" t="b">
        <f>FALSE()</f>
        <v>0</v>
      </c>
      <c r="G54" s="2" t="s">
        <v>19</v>
      </c>
      <c r="H54" s="2" t="str">
        <f t="shared" si="0"/>
        <v>llama|threshold_small|21</v>
      </c>
    </row>
    <row r="55" spans="1:8" x14ac:dyDescent="0.2">
      <c r="A55" s="2" t="s">
        <v>30</v>
      </c>
      <c r="B55" s="2" t="s">
        <v>9</v>
      </c>
      <c r="C55" s="2">
        <v>22</v>
      </c>
      <c r="D55" s="2" t="s">
        <v>14</v>
      </c>
      <c r="E55" s="2" t="s">
        <v>28</v>
      </c>
      <c r="F55" s="4" t="b">
        <f>FALSE()</f>
        <v>0</v>
      </c>
      <c r="G55" s="2" t="s">
        <v>20</v>
      </c>
      <c r="H55" s="2" t="str">
        <f t="shared" si="0"/>
        <v>llama|threshold_small|22</v>
      </c>
    </row>
    <row r="56" spans="1:8" x14ac:dyDescent="0.2">
      <c r="A56" s="2" t="s">
        <v>30</v>
      </c>
      <c r="B56" s="2" t="s">
        <v>9</v>
      </c>
      <c r="C56" s="2">
        <v>31</v>
      </c>
      <c r="D56" s="2" t="s">
        <v>10</v>
      </c>
      <c r="E56" s="2" t="s">
        <v>28</v>
      </c>
      <c r="F56" s="4" t="b">
        <f>FALSE()</f>
        <v>0</v>
      </c>
      <c r="G56" s="2" t="s">
        <v>21</v>
      </c>
      <c r="H56" s="2" t="str">
        <f t="shared" si="0"/>
        <v>llama|threshold_small|31</v>
      </c>
    </row>
    <row r="57" spans="1:8" x14ac:dyDescent="0.2">
      <c r="A57" s="2" t="s">
        <v>30</v>
      </c>
      <c r="B57" s="2" t="s">
        <v>9</v>
      </c>
      <c r="C57" s="2">
        <v>32</v>
      </c>
      <c r="D57" s="2" t="s">
        <v>10</v>
      </c>
      <c r="E57" s="2" t="s">
        <v>28</v>
      </c>
      <c r="F57" s="4" t="b">
        <f>FALSE()</f>
        <v>0</v>
      </c>
      <c r="G57" s="2" t="s">
        <v>22</v>
      </c>
      <c r="H57" s="2" t="str">
        <f t="shared" si="0"/>
        <v>llama|threshold_small|32</v>
      </c>
    </row>
    <row r="58" spans="1:8" x14ac:dyDescent="0.2">
      <c r="A58" s="2" t="s">
        <v>30</v>
      </c>
      <c r="B58" s="2" t="s">
        <v>9</v>
      </c>
      <c r="C58" s="2">
        <v>41</v>
      </c>
      <c r="D58" s="2" t="s">
        <v>14</v>
      </c>
      <c r="E58" s="2" t="s">
        <v>28</v>
      </c>
      <c r="F58" s="4" t="b">
        <f>FALSE()</f>
        <v>0</v>
      </c>
      <c r="G58" s="2" t="s">
        <v>23</v>
      </c>
      <c r="H58" s="2" t="str">
        <f t="shared" si="0"/>
        <v>llama|threshold_small|41</v>
      </c>
    </row>
    <row r="59" spans="1:8" x14ac:dyDescent="0.2">
      <c r="A59" s="2" t="s">
        <v>30</v>
      </c>
      <c r="B59" s="2" t="s">
        <v>9</v>
      </c>
      <c r="C59" s="2">
        <v>42</v>
      </c>
      <c r="D59" s="2" t="s">
        <v>14</v>
      </c>
      <c r="E59" s="2" t="s">
        <v>28</v>
      </c>
      <c r="F59" s="4" t="b">
        <f>FALSE()</f>
        <v>0</v>
      </c>
      <c r="G59" s="2" t="s">
        <v>24</v>
      </c>
      <c r="H59" s="2" t="str">
        <f t="shared" si="0"/>
        <v>llama|threshold_small|42</v>
      </c>
    </row>
    <row r="60" spans="1:8" x14ac:dyDescent="0.2">
      <c r="A60" s="2" t="s">
        <v>30</v>
      </c>
      <c r="B60" s="2" t="s">
        <v>9</v>
      </c>
      <c r="C60" s="2">
        <v>51</v>
      </c>
      <c r="D60" s="2" t="s">
        <v>14</v>
      </c>
      <c r="E60" s="2" t="s">
        <v>28</v>
      </c>
      <c r="F60" s="4" t="b">
        <f>FALSE()</f>
        <v>0</v>
      </c>
      <c r="G60" s="2" t="s">
        <v>25</v>
      </c>
      <c r="H60" s="2" t="str">
        <f t="shared" si="0"/>
        <v>llama|threshold_small|51</v>
      </c>
    </row>
    <row r="61" spans="1:8" x14ac:dyDescent="0.2">
      <c r="A61" s="2" t="s">
        <v>30</v>
      </c>
      <c r="B61" s="2" t="s">
        <v>9</v>
      </c>
      <c r="C61" s="2">
        <v>52</v>
      </c>
      <c r="D61" s="2" t="s">
        <v>14</v>
      </c>
      <c r="E61" s="2" t="s">
        <v>28</v>
      </c>
      <c r="F61" s="4" t="b">
        <f>FALSE()</f>
        <v>0</v>
      </c>
      <c r="G61" s="2" t="s">
        <v>26</v>
      </c>
      <c r="H61" s="2" t="str">
        <f t="shared" si="0"/>
        <v>llama|threshold_small|52</v>
      </c>
    </row>
    <row r="62" spans="1:8" x14ac:dyDescent="0.2">
      <c r="A62" s="2" t="s">
        <v>8</v>
      </c>
      <c r="B62" s="2" t="s">
        <v>31</v>
      </c>
      <c r="C62" s="2">
        <v>1</v>
      </c>
      <c r="D62" s="2" t="s">
        <v>10</v>
      </c>
      <c r="E62" s="2" t="s">
        <v>10</v>
      </c>
      <c r="F62" s="3" t="b">
        <f>TRUE()</f>
        <v>1</v>
      </c>
      <c r="G62" s="2" t="s">
        <v>11</v>
      </c>
      <c r="H62" s="2" t="str">
        <f t="shared" si="0"/>
        <v>gpt|threshold_large|1</v>
      </c>
    </row>
    <row r="63" spans="1:8" x14ac:dyDescent="0.2">
      <c r="A63" s="2" t="s">
        <v>8</v>
      </c>
      <c r="B63" s="2" t="s">
        <v>31</v>
      </c>
      <c r="C63" s="2">
        <v>2</v>
      </c>
      <c r="D63" s="2" t="s">
        <v>14</v>
      </c>
      <c r="E63" s="2" t="s">
        <v>14</v>
      </c>
      <c r="F63" s="3" t="b">
        <f>TRUE()</f>
        <v>1</v>
      </c>
      <c r="G63" s="2" t="s">
        <v>12</v>
      </c>
      <c r="H63" s="2" t="str">
        <f t="shared" si="0"/>
        <v>gpt|threshold_large|2</v>
      </c>
    </row>
    <row r="64" spans="1:8" x14ac:dyDescent="0.2">
      <c r="A64" s="2" t="s">
        <v>8</v>
      </c>
      <c r="B64" s="2" t="s">
        <v>31</v>
      </c>
      <c r="C64" s="2">
        <v>3</v>
      </c>
      <c r="D64" s="2" t="s">
        <v>10</v>
      </c>
      <c r="E64" s="2" t="s">
        <v>10</v>
      </c>
      <c r="F64" s="3" t="b">
        <f>TRUE()</f>
        <v>1</v>
      </c>
      <c r="G64" s="2" t="s">
        <v>13</v>
      </c>
      <c r="H64" s="2" t="str">
        <f t="shared" si="0"/>
        <v>gpt|threshold_large|3</v>
      </c>
    </row>
    <row r="65" spans="1:8" x14ac:dyDescent="0.2">
      <c r="A65" s="2" t="s">
        <v>8</v>
      </c>
      <c r="B65" s="2" t="s">
        <v>31</v>
      </c>
      <c r="C65" s="2">
        <v>4</v>
      </c>
      <c r="D65" s="2" t="s">
        <v>14</v>
      </c>
      <c r="E65" s="2" t="s">
        <v>14</v>
      </c>
      <c r="F65" s="3" t="b">
        <f>TRUE()</f>
        <v>1</v>
      </c>
      <c r="G65" s="2" t="s">
        <v>15</v>
      </c>
      <c r="H65" s="2" t="str">
        <f t="shared" si="0"/>
        <v>gpt|threshold_large|4</v>
      </c>
    </row>
    <row r="66" spans="1:8" x14ac:dyDescent="0.2">
      <c r="A66" s="2" t="s">
        <v>8</v>
      </c>
      <c r="B66" s="2" t="s">
        <v>31</v>
      </c>
      <c r="C66" s="2">
        <v>11</v>
      </c>
      <c r="D66" s="2" t="s">
        <v>14</v>
      </c>
      <c r="E66" s="2" t="s">
        <v>14</v>
      </c>
      <c r="F66" s="3" t="b">
        <f>TRUE()</f>
        <v>1</v>
      </c>
      <c r="G66" s="2" t="s">
        <v>16</v>
      </c>
      <c r="H66" s="2" t="str">
        <f t="shared" ref="H66:H129" si="1">A66&amp;"|"&amp;B66&amp;"|"&amp;C66</f>
        <v>gpt|threshold_large|11</v>
      </c>
    </row>
    <row r="67" spans="1:8" x14ac:dyDescent="0.2">
      <c r="A67" s="2" t="s">
        <v>8</v>
      </c>
      <c r="B67" s="2" t="s">
        <v>31</v>
      </c>
      <c r="C67" s="2">
        <v>12</v>
      </c>
      <c r="D67" s="2" t="s">
        <v>14</v>
      </c>
      <c r="E67" s="2" t="s">
        <v>14</v>
      </c>
      <c r="F67" s="3" t="b">
        <f>TRUE()</f>
        <v>1</v>
      </c>
      <c r="G67" s="2" t="s">
        <v>17</v>
      </c>
      <c r="H67" s="2" t="str">
        <f t="shared" si="1"/>
        <v>gpt|threshold_large|12</v>
      </c>
    </row>
    <row r="68" spans="1:8" x14ac:dyDescent="0.2">
      <c r="A68" s="2" t="s">
        <v>8</v>
      </c>
      <c r="B68" s="2" t="s">
        <v>31</v>
      </c>
      <c r="C68" s="2">
        <v>13</v>
      </c>
      <c r="D68" s="2" t="s">
        <v>14</v>
      </c>
      <c r="E68" s="2" t="s">
        <v>14</v>
      </c>
      <c r="F68" s="3" t="b">
        <f>TRUE()</f>
        <v>1</v>
      </c>
      <c r="G68" s="2" t="s">
        <v>18</v>
      </c>
      <c r="H68" s="2" t="str">
        <f t="shared" si="1"/>
        <v>gpt|threshold_large|13</v>
      </c>
    </row>
    <row r="69" spans="1:8" x14ac:dyDescent="0.2">
      <c r="A69" s="2" t="s">
        <v>8</v>
      </c>
      <c r="B69" s="2" t="s">
        <v>31</v>
      </c>
      <c r="C69" s="2">
        <v>21</v>
      </c>
      <c r="D69" s="2" t="s">
        <v>14</v>
      </c>
      <c r="E69" s="2" t="s">
        <v>14</v>
      </c>
      <c r="F69" s="3" t="b">
        <f>TRUE()</f>
        <v>1</v>
      </c>
      <c r="G69" s="2" t="s">
        <v>19</v>
      </c>
      <c r="H69" s="2" t="str">
        <f t="shared" si="1"/>
        <v>gpt|threshold_large|21</v>
      </c>
    </row>
    <row r="70" spans="1:8" x14ac:dyDescent="0.2">
      <c r="A70" s="2" t="s">
        <v>8</v>
      </c>
      <c r="B70" s="2" t="s">
        <v>31</v>
      </c>
      <c r="C70" s="2">
        <v>22</v>
      </c>
      <c r="D70" s="2" t="s">
        <v>14</v>
      </c>
      <c r="E70" s="2" t="s">
        <v>14</v>
      </c>
      <c r="F70" s="3" t="b">
        <f>TRUE()</f>
        <v>1</v>
      </c>
      <c r="G70" s="2" t="s">
        <v>20</v>
      </c>
      <c r="H70" s="2" t="str">
        <f t="shared" si="1"/>
        <v>gpt|threshold_large|22</v>
      </c>
    </row>
    <row r="71" spans="1:8" x14ac:dyDescent="0.2">
      <c r="A71" s="2" t="s">
        <v>8</v>
      </c>
      <c r="B71" s="2" t="s">
        <v>31</v>
      </c>
      <c r="C71" s="2">
        <v>31</v>
      </c>
      <c r="D71" s="2" t="s">
        <v>10</v>
      </c>
      <c r="E71" s="2" t="s">
        <v>10</v>
      </c>
      <c r="F71" s="3" t="b">
        <f>TRUE()</f>
        <v>1</v>
      </c>
      <c r="G71" s="2" t="s">
        <v>21</v>
      </c>
      <c r="H71" s="2" t="str">
        <f t="shared" si="1"/>
        <v>gpt|threshold_large|31</v>
      </c>
    </row>
    <row r="72" spans="1:8" x14ac:dyDescent="0.2">
      <c r="A72" s="2" t="s">
        <v>8</v>
      </c>
      <c r="B72" s="2" t="s">
        <v>31</v>
      </c>
      <c r="C72" s="2">
        <v>32</v>
      </c>
      <c r="D72" s="2" t="s">
        <v>10</v>
      </c>
      <c r="E72" s="2" t="s">
        <v>10</v>
      </c>
      <c r="F72" s="3" t="b">
        <f>TRUE()</f>
        <v>1</v>
      </c>
      <c r="G72" s="2" t="s">
        <v>22</v>
      </c>
      <c r="H72" s="2" t="str">
        <f t="shared" si="1"/>
        <v>gpt|threshold_large|32</v>
      </c>
    </row>
    <row r="73" spans="1:8" x14ac:dyDescent="0.2">
      <c r="A73" s="2" t="s">
        <v>8</v>
      </c>
      <c r="B73" s="2" t="s">
        <v>31</v>
      </c>
      <c r="C73" s="2">
        <v>41</v>
      </c>
      <c r="D73" s="2" t="s">
        <v>14</v>
      </c>
      <c r="E73" s="2" t="s">
        <v>14</v>
      </c>
      <c r="F73" s="3" t="b">
        <f>TRUE()</f>
        <v>1</v>
      </c>
      <c r="G73" s="2" t="s">
        <v>23</v>
      </c>
      <c r="H73" s="2" t="str">
        <f t="shared" si="1"/>
        <v>gpt|threshold_large|41</v>
      </c>
    </row>
    <row r="74" spans="1:8" x14ac:dyDescent="0.2">
      <c r="A74" s="2" t="s">
        <v>8</v>
      </c>
      <c r="B74" s="2" t="s">
        <v>31</v>
      </c>
      <c r="C74" s="2">
        <v>42</v>
      </c>
      <c r="D74" s="2" t="s">
        <v>14</v>
      </c>
      <c r="E74" s="2" t="s">
        <v>14</v>
      </c>
      <c r="F74" s="3" t="b">
        <f>TRUE()</f>
        <v>1</v>
      </c>
      <c r="G74" s="2" t="s">
        <v>24</v>
      </c>
      <c r="H74" s="2" t="str">
        <f t="shared" si="1"/>
        <v>gpt|threshold_large|42</v>
      </c>
    </row>
    <row r="75" spans="1:8" x14ac:dyDescent="0.2">
      <c r="A75" s="2" t="s">
        <v>8</v>
      </c>
      <c r="B75" s="2" t="s">
        <v>31</v>
      </c>
      <c r="C75" s="2">
        <v>51</v>
      </c>
      <c r="D75" s="2" t="s">
        <v>14</v>
      </c>
      <c r="E75" s="2" t="s">
        <v>14</v>
      </c>
      <c r="F75" s="3" t="b">
        <f>TRUE()</f>
        <v>1</v>
      </c>
      <c r="G75" s="2" t="s">
        <v>25</v>
      </c>
      <c r="H75" s="2" t="str">
        <f t="shared" si="1"/>
        <v>gpt|threshold_large|51</v>
      </c>
    </row>
    <row r="76" spans="1:8" x14ac:dyDescent="0.2">
      <c r="A76" s="2" t="s">
        <v>8</v>
      </c>
      <c r="B76" s="2" t="s">
        <v>31</v>
      </c>
      <c r="C76" s="2">
        <v>52</v>
      </c>
      <c r="D76" s="2" t="s">
        <v>14</v>
      </c>
      <c r="E76" s="2" t="s">
        <v>14</v>
      </c>
      <c r="F76" s="3" t="b">
        <f>TRUE()</f>
        <v>1</v>
      </c>
      <c r="G76" s="2" t="s">
        <v>26</v>
      </c>
      <c r="H76" s="2" t="str">
        <f t="shared" si="1"/>
        <v>gpt|threshold_large|52</v>
      </c>
    </row>
    <row r="77" spans="1:8" x14ac:dyDescent="0.2">
      <c r="A77" s="2" t="s">
        <v>27</v>
      </c>
      <c r="B77" s="2" t="s">
        <v>31</v>
      </c>
      <c r="C77" s="2">
        <v>1</v>
      </c>
      <c r="D77" s="2" t="s">
        <v>10</v>
      </c>
      <c r="E77" s="2" t="s">
        <v>10</v>
      </c>
      <c r="F77" s="3" t="b">
        <f>TRUE()</f>
        <v>1</v>
      </c>
      <c r="G77" s="2" t="s">
        <v>11</v>
      </c>
      <c r="H77" s="2" t="str">
        <f t="shared" si="1"/>
        <v>claude|threshold_large|1</v>
      </c>
    </row>
    <row r="78" spans="1:8" x14ac:dyDescent="0.2">
      <c r="A78" s="2" t="s">
        <v>27</v>
      </c>
      <c r="B78" s="2" t="s">
        <v>31</v>
      </c>
      <c r="C78" s="2">
        <v>2</v>
      </c>
      <c r="D78" s="2" t="s">
        <v>14</v>
      </c>
      <c r="E78" s="2" t="s">
        <v>28</v>
      </c>
      <c r="F78" s="4" t="b">
        <f>FALSE()</f>
        <v>0</v>
      </c>
      <c r="G78" s="2" t="s">
        <v>12</v>
      </c>
      <c r="H78" s="2" t="str">
        <f t="shared" si="1"/>
        <v>claude|threshold_large|2</v>
      </c>
    </row>
    <row r="79" spans="1:8" x14ac:dyDescent="0.2">
      <c r="A79" s="2" t="s">
        <v>27</v>
      </c>
      <c r="B79" s="2" t="s">
        <v>31</v>
      </c>
      <c r="C79" s="2">
        <v>3</v>
      </c>
      <c r="D79" s="2" t="s">
        <v>10</v>
      </c>
      <c r="E79" s="2" t="s">
        <v>10</v>
      </c>
      <c r="F79" s="3" t="b">
        <f>TRUE()</f>
        <v>1</v>
      </c>
      <c r="G79" s="2" t="s">
        <v>13</v>
      </c>
      <c r="H79" s="2" t="str">
        <f t="shared" si="1"/>
        <v>claude|threshold_large|3</v>
      </c>
    </row>
    <row r="80" spans="1:8" x14ac:dyDescent="0.2">
      <c r="A80" s="2" t="s">
        <v>27</v>
      </c>
      <c r="B80" s="2" t="s">
        <v>31</v>
      </c>
      <c r="C80" s="2">
        <v>4</v>
      </c>
      <c r="D80" s="2" t="s">
        <v>14</v>
      </c>
      <c r="E80" s="2" t="s">
        <v>28</v>
      </c>
      <c r="F80" s="4" t="b">
        <f>FALSE()</f>
        <v>0</v>
      </c>
      <c r="G80" s="2" t="s">
        <v>15</v>
      </c>
      <c r="H80" s="2" t="str">
        <f t="shared" si="1"/>
        <v>claude|threshold_large|4</v>
      </c>
    </row>
    <row r="81" spans="1:8" x14ac:dyDescent="0.2">
      <c r="A81" s="2" t="s">
        <v>27</v>
      </c>
      <c r="B81" s="2" t="s">
        <v>31</v>
      </c>
      <c r="C81" s="2">
        <v>11</v>
      </c>
      <c r="D81" s="2" t="s">
        <v>14</v>
      </c>
      <c r="E81" s="2" t="s">
        <v>28</v>
      </c>
      <c r="F81" s="4" t="b">
        <f>FALSE()</f>
        <v>0</v>
      </c>
      <c r="G81" s="2" t="s">
        <v>16</v>
      </c>
      <c r="H81" s="2" t="str">
        <f t="shared" si="1"/>
        <v>claude|threshold_large|11</v>
      </c>
    </row>
    <row r="82" spans="1:8" x14ac:dyDescent="0.2">
      <c r="A82" s="2" t="s">
        <v>27</v>
      </c>
      <c r="B82" s="2" t="s">
        <v>31</v>
      </c>
      <c r="C82" s="2">
        <v>12</v>
      </c>
      <c r="D82" s="2" t="s">
        <v>14</v>
      </c>
      <c r="E82" s="2" t="s">
        <v>28</v>
      </c>
      <c r="F82" s="4" t="b">
        <f>FALSE()</f>
        <v>0</v>
      </c>
      <c r="G82" s="2" t="s">
        <v>17</v>
      </c>
      <c r="H82" s="2" t="str">
        <f t="shared" si="1"/>
        <v>claude|threshold_large|12</v>
      </c>
    </row>
    <row r="83" spans="1:8" x14ac:dyDescent="0.2">
      <c r="A83" s="2" t="s">
        <v>27</v>
      </c>
      <c r="B83" s="2" t="s">
        <v>31</v>
      </c>
      <c r="C83" s="2">
        <v>13</v>
      </c>
      <c r="D83" s="2" t="s">
        <v>14</v>
      </c>
      <c r="E83" s="2" t="s">
        <v>28</v>
      </c>
      <c r="F83" s="4" t="b">
        <f>FALSE()</f>
        <v>0</v>
      </c>
      <c r="G83" s="2" t="s">
        <v>18</v>
      </c>
      <c r="H83" s="2" t="str">
        <f t="shared" si="1"/>
        <v>claude|threshold_large|13</v>
      </c>
    </row>
    <row r="84" spans="1:8" x14ac:dyDescent="0.2">
      <c r="A84" s="2" t="s">
        <v>27</v>
      </c>
      <c r="B84" s="2" t="s">
        <v>31</v>
      </c>
      <c r="C84" s="2">
        <v>21</v>
      </c>
      <c r="D84" s="2" t="s">
        <v>14</v>
      </c>
      <c r="E84" s="2" t="s">
        <v>28</v>
      </c>
      <c r="F84" s="4" t="b">
        <f>FALSE()</f>
        <v>0</v>
      </c>
      <c r="G84" s="2" t="s">
        <v>19</v>
      </c>
      <c r="H84" s="2" t="str">
        <f t="shared" si="1"/>
        <v>claude|threshold_large|21</v>
      </c>
    </row>
    <row r="85" spans="1:8" x14ac:dyDescent="0.2">
      <c r="A85" s="2" t="s">
        <v>27</v>
      </c>
      <c r="B85" s="2" t="s">
        <v>31</v>
      </c>
      <c r="C85" s="2">
        <v>22</v>
      </c>
      <c r="D85" s="2" t="s">
        <v>14</v>
      </c>
      <c r="E85" s="2" t="s">
        <v>28</v>
      </c>
      <c r="F85" s="4" t="b">
        <f>FALSE()</f>
        <v>0</v>
      </c>
      <c r="G85" s="2" t="s">
        <v>20</v>
      </c>
      <c r="H85" s="2" t="str">
        <f t="shared" si="1"/>
        <v>claude|threshold_large|22</v>
      </c>
    </row>
    <row r="86" spans="1:8" x14ac:dyDescent="0.2">
      <c r="A86" s="2" t="s">
        <v>27</v>
      </c>
      <c r="B86" s="2" t="s">
        <v>31</v>
      </c>
      <c r="C86" s="2">
        <v>31</v>
      </c>
      <c r="D86" s="2" t="s">
        <v>10</v>
      </c>
      <c r="E86" s="2" t="s">
        <v>28</v>
      </c>
      <c r="F86" s="4" t="b">
        <f>FALSE()</f>
        <v>0</v>
      </c>
      <c r="G86" s="2" t="s">
        <v>21</v>
      </c>
      <c r="H86" s="2" t="str">
        <f t="shared" si="1"/>
        <v>claude|threshold_large|31</v>
      </c>
    </row>
    <row r="87" spans="1:8" x14ac:dyDescent="0.2">
      <c r="A87" s="2" t="s">
        <v>27</v>
      </c>
      <c r="B87" s="2" t="s">
        <v>31</v>
      </c>
      <c r="C87" s="2">
        <v>32</v>
      </c>
      <c r="D87" s="2" t="s">
        <v>10</v>
      </c>
      <c r="E87" s="2" t="s">
        <v>10</v>
      </c>
      <c r="F87" s="3" t="b">
        <f>TRUE()</f>
        <v>1</v>
      </c>
      <c r="G87" s="2" t="s">
        <v>22</v>
      </c>
      <c r="H87" s="2" t="str">
        <f t="shared" si="1"/>
        <v>claude|threshold_large|32</v>
      </c>
    </row>
    <row r="88" spans="1:8" x14ac:dyDescent="0.2">
      <c r="A88" s="2" t="s">
        <v>27</v>
      </c>
      <c r="B88" s="2" t="s">
        <v>31</v>
      </c>
      <c r="C88" s="2">
        <v>41</v>
      </c>
      <c r="D88" s="2" t="s">
        <v>14</v>
      </c>
      <c r="E88" s="2" t="s">
        <v>28</v>
      </c>
      <c r="F88" s="4" t="b">
        <f>FALSE()</f>
        <v>0</v>
      </c>
      <c r="G88" s="2" t="s">
        <v>23</v>
      </c>
      <c r="H88" s="2" t="str">
        <f t="shared" si="1"/>
        <v>claude|threshold_large|41</v>
      </c>
    </row>
    <row r="89" spans="1:8" x14ac:dyDescent="0.2">
      <c r="A89" s="2" t="s">
        <v>27</v>
      </c>
      <c r="B89" s="2" t="s">
        <v>31</v>
      </c>
      <c r="C89" s="2">
        <v>42</v>
      </c>
      <c r="D89" s="2" t="s">
        <v>14</v>
      </c>
      <c r="E89" s="2" t="s">
        <v>28</v>
      </c>
      <c r="F89" s="4" t="b">
        <f>FALSE()</f>
        <v>0</v>
      </c>
      <c r="G89" s="2" t="s">
        <v>24</v>
      </c>
      <c r="H89" s="2" t="str">
        <f t="shared" si="1"/>
        <v>claude|threshold_large|42</v>
      </c>
    </row>
    <row r="90" spans="1:8" x14ac:dyDescent="0.2">
      <c r="A90" s="2" t="s">
        <v>27</v>
      </c>
      <c r="B90" s="2" t="s">
        <v>31</v>
      </c>
      <c r="C90" s="2">
        <v>51</v>
      </c>
      <c r="D90" s="2" t="s">
        <v>14</v>
      </c>
      <c r="E90" s="2" t="s">
        <v>28</v>
      </c>
      <c r="F90" s="4" t="b">
        <f>FALSE()</f>
        <v>0</v>
      </c>
      <c r="G90" s="2" t="s">
        <v>25</v>
      </c>
      <c r="H90" s="2" t="str">
        <f t="shared" si="1"/>
        <v>claude|threshold_large|51</v>
      </c>
    </row>
    <row r="91" spans="1:8" x14ac:dyDescent="0.2">
      <c r="A91" s="2" t="s">
        <v>27</v>
      </c>
      <c r="B91" s="2" t="s">
        <v>31</v>
      </c>
      <c r="C91" s="2">
        <v>52</v>
      </c>
      <c r="D91" s="2" t="s">
        <v>14</v>
      </c>
      <c r="E91" s="2" t="s">
        <v>14</v>
      </c>
      <c r="F91" s="3" t="b">
        <f>TRUE()</f>
        <v>1</v>
      </c>
      <c r="G91" s="2" t="s">
        <v>26</v>
      </c>
      <c r="H91" s="2" t="str">
        <f t="shared" si="1"/>
        <v>claude|threshold_large|52</v>
      </c>
    </row>
    <row r="92" spans="1:8" x14ac:dyDescent="0.2">
      <c r="A92" s="2" t="s">
        <v>29</v>
      </c>
      <c r="B92" s="2" t="s">
        <v>31</v>
      </c>
      <c r="C92" s="2">
        <v>1</v>
      </c>
      <c r="D92" s="2" t="s">
        <v>10</v>
      </c>
      <c r="E92" s="2" t="s">
        <v>10</v>
      </c>
      <c r="F92" s="3" t="b">
        <f>TRUE()</f>
        <v>1</v>
      </c>
      <c r="G92" s="2" t="s">
        <v>11</v>
      </c>
      <c r="H92" s="2" t="str">
        <f t="shared" si="1"/>
        <v>gemini|threshold_large|1</v>
      </c>
    </row>
    <row r="93" spans="1:8" x14ac:dyDescent="0.2">
      <c r="A93" s="2" t="s">
        <v>29</v>
      </c>
      <c r="B93" s="2" t="s">
        <v>31</v>
      </c>
      <c r="C93" s="2">
        <v>2</v>
      </c>
      <c r="D93" s="2" t="s">
        <v>14</v>
      </c>
      <c r="E93" s="2" t="s">
        <v>14</v>
      </c>
      <c r="F93" s="3" t="b">
        <f>TRUE()</f>
        <v>1</v>
      </c>
      <c r="G93" s="2" t="s">
        <v>12</v>
      </c>
      <c r="H93" s="2" t="str">
        <f t="shared" si="1"/>
        <v>gemini|threshold_large|2</v>
      </c>
    </row>
    <row r="94" spans="1:8" x14ac:dyDescent="0.2">
      <c r="A94" s="2" t="s">
        <v>29</v>
      </c>
      <c r="B94" s="2" t="s">
        <v>31</v>
      </c>
      <c r="C94" s="2">
        <v>3</v>
      </c>
      <c r="D94" s="2" t="s">
        <v>10</v>
      </c>
      <c r="E94" s="2" t="s">
        <v>10</v>
      </c>
      <c r="F94" s="3" t="b">
        <f>TRUE()</f>
        <v>1</v>
      </c>
      <c r="G94" s="2" t="s">
        <v>13</v>
      </c>
      <c r="H94" s="2" t="str">
        <f t="shared" si="1"/>
        <v>gemini|threshold_large|3</v>
      </c>
    </row>
    <row r="95" spans="1:8" x14ac:dyDescent="0.2">
      <c r="A95" s="2" t="s">
        <v>29</v>
      </c>
      <c r="B95" s="2" t="s">
        <v>31</v>
      </c>
      <c r="C95" s="2">
        <v>4</v>
      </c>
      <c r="D95" s="2" t="s">
        <v>14</v>
      </c>
      <c r="E95" s="2" t="s">
        <v>14</v>
      </c>
      <c r="F95" s="3" t="b">
        <f>TRUE()</f>
        <v>1</v>
      </c>
      <c r="G95" s="2" t="s">
        <v>15</v>
      </c>
      <c r="H95" s="2" t="str">
        <f t="shared" si="1"/>
        <v>gemini|threshold_large|4</v>
      </c>
    </row>
    <row r="96" spans="1:8" x14ac:dyDescent="0.2">
      <c r="A96" s="2" t="s">
        <v>29</v>
      </c>
      <c r="B96" s="2" t="s">
        <v>31</v>
      </c>
      <c r="C96" s="2">
        <v>11</v>
      </c>
      <c r="D96" s="2" t="s">
        <v>14</v>
      </c>
      <c r="E96" s="2" t="s">
        <v>14</v>
      </c>
      <c r="F96" s="3" t="b">
        <f>TRUE()</f>
        <v>1</v>
      </c>
      <c r="G96" s="2" t="s">
        <v>16</v>
      </c>
      <c r="H96" s="2" t="str">
        <f t="shared" si="1"/>
        <v>gemini|threshold_large|11</v>
      </c>
    </row>
    <row r="97" spans="1:8" x14ac:dyDescent="0.2">
      <c r="A97" s="2" t="s">
        <v>29</v>
      </c>
      <c r="B97" s="2" t="s">
        <v>31</v>
      </c>
      <c r="C97" s="2">
        <v>12</v>
      </c>
      <c r="D97" s="2" t="s">
        <v>14</v>
      </c>
      <c r="E97" s="2" t="s">
        <v>14</v>
      </c>
      <c r="F97" s="3" t="b">
        <f>TRUE()</f>
        <v>1</v>
      </c>
      <c r="G97" s="2" t="s">
        <v>17</v>
      </c>
      <c r="H97" s="2" t="str">
        <f t="shared" si="1"/>
        <v>gemini|threshold_large|12</v>
      </c>
    </row>
    <row r="98" spans="1:8" x14ac:dyDescent="0.2">
      <c r="A98" s="2" t="s">
        <v>29</v>
      </c>
      <c r="B98" s="2" t="s">
        <v>31</v>
      </c>
      <c r="C98" s="2">
        <v>13</v>
      </c>
      <c r="D98" s="2" t="s">
        <v>14</v>
      </c>
      <c r="E98" s="2" t="s">
        <v>14</v>
      </c>
      <c r="F98" s="3" t="b">
        <f>TRUE()</f>
        <v>1</v>
      </c>
      <c r="G98" s="2" t="s">
        <v>18</v>
      </c>
      <c r="H98" s="2" t="str">
        <f t="shared" si="1"/>
        <v>gemini|threshold_large|13</v>
      </c>
    </row>
    <row r="99" spans="1:8" x14ac:dyDescent="0.2">
      <c r="A99" s="2" t="s">
        <v>29</v>
      </c>
      <c r="B99" s="2" t="s">
        <v>31</v>
      </c>
      <c r="C99" s="2">
        <v>21</v>
      </c>
      <c r="D99" s="2" t="s">
        <v>14</v>
      </c>
      <c r="E99" s="2" t="s">
        <v>14</v>
      </c>
      <c r="F99" s="3" t="b">
        <f>TRUE()</f>
        <v>1</v>
      </c>
      <c r="G99" s="2" t="s">
        <v>19</v>
      </c>
      <c r="H99" s="2" t="str">
        <f t="shared" si="1"/>
        <v>gemini|threshold_large|21</v>
      </c>
    </row>
    <row r="100" spans="1:8" x14ac:dyDescent="0.2">
      <c r="A100" s="2" t="s">
        <v>29</v>
      </c>
      <c r="B100" s="2" t="s">
        <v>31</v>
      </c>
      <c r="C100" s="2">
        <v>22</v>
      </c>
      <c r="D100" s="2" t="s">
        <v>14</v>
      </c>
      <c r="E100" s="2" t="s">
        <v>14</v>
      </c>
      <c r="F100" s="3" t="b">
        <f>TRUE()</f>
        <v>1</v>
      </c>
      <c r="G100" s="2" t="s">
        <v>20</v>
      </c>
      <c r="H100" s="2" t="str">
        <f t="shared" si="1"/>
        <v>gemini|threshold_large|22</v>
      </c>
    </row>
    <row r="101" spans="1:8" x14ac:dyDescent="0.2">
      <c r="A101" s="2" t="s">
        <v>29</v>
      </c>
      <c r="B101" s="2" t="s">
        <v>31</v>
      </c>
      <c r="C101" s="2">
        <v>31</v>
      </c>
      <c r="D101" s="2" t="s">
        <v>10</v>
      </c>
      <c r="E101" s="2" t="s">
        <v>10</v>
      </c>
      <c r="F101" s="3" t="b">
        <f>TRUE()</f>
        <v>1</v>
      </c>
      <c r="G101" s="2" t="s">
        <v>21</v>
      </c>
      <c r="H101" s="2" t="str">
        <f t="shared" si="1"/>
        <v>gemini|threshold_large|31</v>
      </c>
    </row>
    <row r="102" spans="1:8" x14ac:dyDescent="0.2">
      <c r="A102" s="2" t="s">
        <v>29</v>
      </c>
      <c r="B102" s="2" t="s">
        <v>31</v>
      </c>
      <c r="C102" s="2">
        <v>32</v>
      </c>
      <c r="D102" s="2" t="s">
        <v>10</v>
      </c>
      <c r="E102" s="2" t="s">
        <v>10</v>
      </c>
      <c r="F102" s="3" t="b">
        <f>TRUE()</f>
        <v>1</v>
      </c>
      <c r="G102" s="2" t="s">
        <v>22</v>
      </c>
      <c r="H102" s="2" t="str">
        <f t="shared" si="1"/>
        <v>gemini|threshold_large|32</v>
      </c>
    </row>
    <row r="103" spans="1:8" x14ac:dyDescent="0.2">
      <c r="A103" s="2" t="s">
        <v>29</v>
      </c>
      <c r="B103" s="2" t="s">
        <v>31</v>
      </c>
      <c r="C103" s="2">
        <v>41</v>
      </c>
      <c r="D103" s="2" t="s">
        <v>14</v>
      </c>
      <c r="E103" s="2" t="s">
        <v>14</v>
      </c>
      <c r="F103" s="3" t="b">
        <f>TRUE()</f>
        <v>1</v>
      </c>
      <c r="G103" s="2" t="s">
        <v>23</v>
      </c>
      <c r="H103" s="2" t="str">
        <f t="shared" si="1"/>
        <v>gemini|threshold_large|41</v>
      </c>
    </row>
    <row r="104" spans="1:8" x14ac:dyDescent="0.2">
      <c r="A104" s="2" t="s">
        <v>29</v>
      </c>
      <c r="B104" s="2" t="s">
        <v>31</v>
      </c>
      <c r="C104" s="2">
        <v>42</v>
      </c>
      <c r="D104" s="2" t="s">
        <v>14</v>
      </c>
      <c r="E104" s="2" t="s">
        <v>14</v>
      </c>
      <c r="F104" s="3" t="b">
        <f>TRUE()</f>
        <v>1</v>
      </c>
      <c r="G104" s="2" t="s">
        <v>24</v>
      </c>
      <c r="H104" s="2" t="str">
        <f t="shared" si="1"/>
        <v>gemini|threshold_large|42</v>
      </c>
    </row>
    <row r="105" spans="1:8" x14ac:dyDescent="0.2">
      <c r="A105" s="2" t="s">
        <v>29</v>
      </c>
      <c r="B105" s="2" t="s">
        <v>31</v>
      </c>
      <c r="C105" s="2">
        <v>51</v>
      </c>
      <c r="D105" s="2" t="s">
        <v>14</v>
      </c>
      <c r="E105" s="2" t="s">
        <v>14</v>
      </c>
      <c r="F105" s="3" t="b">
        <f>TRUE()</f>
        <v>1</v>
      </c>
      <c r="G105" s="2" t="s">
        <v>25</v>
      </c>
      <c r="H105" s="2" t="str">
        <f t="shared" si="1"/>
        <v>gemini|threshold_large|51</v>
      </c>
    </row>
    <row r="106" spans="1:8" x14ac:dyDescent="0.2">
      <c r="A106" s="2" t="s">
        <v>29</v>
      </c>
      <c r="B106" s="2" t="s">
        <v>31</v>
      </c>
      <c r="C106" s="2">
        <v>52</v>
      </c>
      <c r="D106" s="2" t="s">
        <v>14</v>
      </c>
      <c r="E106" s="2" t="s">
        <v>14</v>
      </c>
      <c r="F106" s="3" t="b">
        <f>TRUE()</f>
        <v>1</v>
      </c>
      <c r="G106" s="2" t="s">
        <v>26</v>
      </c>
      <c r="H106" s="2" t="str">
        <f t="shared" si="1"/>
        <v>gemini|threshold_large|52</v>
      </c>
    </row>
    <row r="107" spans="1:8" x14ac:dyDescent="0.2">
      <c r="A107" s="2" t="s">
        <v>30</v>
      </c>
      <c r="B107" s="2" t="s">
        <v>31</v>
      </c>
      <c r="C107" s="2">
        <v>1</v>
      </c>
      <c r="D107" s="2" t="s">
        <v>10</v>
      </c>
      <c r="E107" s="2" t="s">
        <v>28</v>
      </c>
      <c r="F107" s="4" t="b">
        <f>FALSE()</f>
        <v>0</v>
      </c>
      <c r="G107" s="2" t="s">
        <v>11</v>
      </c>
      <c r="H107" s="2" t="str">
        <f t="shared" si="1"/>
        <v>llama|threshold_large|1</v>
      </c>
    </row>
    <row r="108" spans="1:8" x14ac:dyDescent="0.2">
      <c r="A108" s="2" t="s">
        <v>30</v>
      </c>
      <c r="B108" s="2" t="s">
        <v>31</v>
      </c>
      <c r="C108" s="2">
        <v>2</v>
      </c>
      <c r="D108" s="2" t="s">
        <v>14</v>
      </c>
      <c r="E108" s="2" t="s">
        <v>28</v>
      </c>
      <c r="F108" s="4" t="b">
        <f>FALSE()</f>
        <v>0</v>
      </c>
      <c r="G108" s="2" t="s">
        <v>12</v>
      </c>
      <c r="H108" s="2" t="str">
        <f t="shared" si="1"/>
        <v>llama|threshold_large|2</v>
      </c>
    </row>
    <row r="109" spans="1:8" x14ac:dyDescent="0.2">
      <c r="A109" s="2" t="s">
        <v>30</v>
      </c>
      <c r="B109" s="2" t="s">
        <v>31</v>
      </c>
      <c r="C109" s="2">
        <v>3</v>
      </c>
      <c r="D109" s="2" t="s">
        <v>10</v>
      </c>
      <c r="E109" s="2" t="s">
        <v>28</v>
      </c>
      <c r="F109" s="4" t="b">
        <f>FALSE()</f>
        <v>0</v>
      </c>
      <c r="G109" s="2" t="s">
        <v>13</v>
      </c>
      <c r="H109" s="2" t="str">
        <f t="shared" si="1"/>
        <v>llama|threshold_large|3</v>
      </c>
    </row>
    <row r="110" spans="1:8" x14ac:dyDescent="0.2">
      <c r="A110" s="2" t="s">
        <v>30</v>
      </c>
      <c r="B110" s="2" t="s">
        <v>31</v>
      </c>
      <c r="C110" s="2">
        <v>4</v>
      </c>
      <c r="D110" s="2" t="s">
        <v>14</v>
      </c>
      <c r="E110" s="2" t="s">
        <v>28</v>
      </c>
      <c r="F110" s="4" t="b">
        <f>FALSE()</f>
        <v>0</v>
      </c>
      <c r="G110" s="2" t="s">
        <v>15</v>
      </c>
      <c r="H110" s="2" t="str">
        <f t="shared" si="1"/>
        <v>llama|threshold_large|4</v>
      </c>
    </row>
    <row r="111" spans="1:8" x14ac:dyDescent="0.2">
      <c r="A111" s="2" t="s">
        <v>30</v>
      </c>
      <c r="B111" s="2" t="s">
        <v>31</v>
      </c>
      <c r="C111" s="2">
        <v>11</v>
      </c>
      <c r="D111" s="2" t="s">
        <v>14</v>
      </c>
      <c r="E111" s="2" t="s">
        <v>28</v>
      </c>
      <c r="F111" s="4" t="b">
        <f>FALSE()</f>
        <v>0</v>
      </c>
      <c r="G111" s="2" t="s">
        <v>16</v>
      </c>
      <c r="H111" s="2" t="str">
        <f t="shared" si="1"/>
        <v>llama|threshold_large|11</v>
      </c>
    </row>
    <row r="112" spans="1:8" x14ac:dyDescent="0.2">
      <c r="A112" s="2" t="s">
        <v>30</v>
      </c>
      <c r="B112" s="2" t="s">
        <v>31</v>
      </c>
      <c r="C112" s="2">
        <v>12</v>
      </c>
      <c r="D112" s="2" t="s">
        <v>14</v>
      </c>
      <c r="E112" s="2" t="s">
        <v>28</v>
      </c>
      <c r="F112" s="4" t="b">
        <f>FALSE()</f>
        <v>0</v>
      </c>
      <c r="G112" s="2" t="s">
        <v>17</v>
      </c>
      <c r="H112" s="2" t="str">
        <f t="shared" si="1"/>
        <v>llama|threshold_large|12</v>
      </c>
    </row>
    <row r="113" spans="1:8" x14ac:dyDescent="0.2">
      <c r="A113" s="2" t="s">
        <v>30</v>
      </c>
      <c r="B113" s="2" t="s">
        <v>31</v>
      </c>
      <c r="C113" s="2">
        <v>13</v>
      </c>
      <c r="D113" s="2" t="s">
        <v>14</v>
      </c>
      <c r="E113" s="2" t="s">
        <v>28</v>
      </c>
      <c r="F113" s="4" t="b">
        <f>FALSE()</f>
        <v>0</v>
      </c>
      <c r="G113" s="2" t="s">
        <v>18</v>
      </c>
      <c r="H113" s="2" t="str">
        <f t="shared" si="1"/>
        <v>llama|threshold_large|13</v>
      </c>
    </row>
    <row r="114" spans="1:8" x14ac:dyDescent="0.2">
      <c r="A114" s="2" t="s">
        <v>30</v>
      </c>
      <c r="B114" s="2" t="s">
        <v>31</v>
      </c>
      <c r="C114" s="2">
        <v>21</v>
      </c>
      <c r="D114" s="2" t="s">
        <v>14</v>
      </c>
      <c r="E114" s="2" t="s">
        <v>28</v>
      </c>
      <c r="F114" s="4" t="b">
        <f>FALSE()</f>
        <v>0</v>
      </c>
      <c r="G114" s="2" t="s">
        <v>19</v>
      </c>
      <c r="H114" s="2" t="str">
        <f t="shared" si="1"/>
        <v>llama|threshold_large|21</v>
      </c>
    </row>
    <row r="115" spans="1:8" x14ac:dyDescent="0.2">
      <c r="A115" s="2" t="s">
        <v>30</v>
      </c>
      <c r="B115" s="2" t="s">
        <v>31</v>
      </c>
      <c r="C115" s="2">
        <v>22</v>
      </c>
      <c r="D115" s="2" t="s">
        <v>14</v>
      </c>
      <c r="E115" s="2" t="s">
        <v>28</v>
      </c>
      <c r="F115" s="4" t="b">
        <f>FALSE()</f>
        <v>0</v>
      </c>
      <c r="G115" s="2" t="s">
        <v>20</v>
      </c>
      <c r="H115" s="2" t="str">
        <f t="shared" si="1"/>
        <v>llama|threshold_large|22</v>
      </c>
    </row>
    <row r="116" spans="1:8" x14ac:dyDescent="0.2">
      <c r="A116" s="2" t="s">
        <v>30</v>
      </c>
      <c r="B116" s="2" t="s">
        <v>31</v>
      </c>
      <c r="C116" s="2">
        <v>31</v>
      </c>
      <c r="D116" s="2" t="s">
        <v>10</v>
      </c>
      <c r="E116" s="2" t="s">
        <v>28</v>
      </c>
      <c r="F116" s="4" t="b">
        <f>FALSE()</f>
        <v>0</v>
      </c>
      <c r="G116" s="2" t="s">
        <v>21</v>
      </c>
      <c r="H116" s="2" t="str">
        <f t="shared" si="1"/>
        <v>llama|threshold_large|31</v>
      </c>
    </row>
    <row r="117" spans="1:8" x14ac:dyDescent="0.2">
      <c r="A117" s="2" t="s">
        <v>30</v>
      </c>
      <c r="B117" s="2" t="s">
        <v>31</v>
      </c>
      <c r="C117" s="2">
        <v>32</v>
      </c>
      <c r="D117" s="2" t="s">
        <v>10</v>
      </c>
      <c r="E117" s="2" t="s">
        <v>28</v>
      </c>
      <c r="F117" s="4" t="b">
        <f>FALSE()</f>
        <v>0</v>
      </c>
      <c r="G117" s="2" t="s">
        <v>22</v>
      </c>
      <c r="H117" s="2" t="str">
        <f t="shared" si="1"/>
        <v>llama|threshold_large|32</v>
      </c>
    </row>
    <row r="118" spans="1:8" x14ac:dyDescent="0.2">
      <c r="A118" s="2" t="s">
        <v>30</v>
      </c>
      <c r="B118" s="2" t="s">
        <v>31</v>
      </c>
      <c r="C118" s="2">
        <v>41</v>
      </c>
      <c r="D118" s="2" t="s">
        <v>14</v>
      </c>
      <c r="E118" s="2" t="s">
        <v>28</v>
      </c>
      <c r="F118" s="4" t="b">
        <f>FALSE()</f>
        <v>0</v>
      </c>
      <c r="G118" s="2" t="s">
        <v>23</v>
      </c>
      <c r="H118" s="2" t="str">
        <f t="shared" si="1"/>
        <v>llama|threshold_large|41</v>
      </c>
    </row>
    <row r="119" spans="1:8" x14ac:dyDescent="0.2">
      <c r="A119" s="2" t="s">
        <v>30</v>
      </c>
      <c r="B119" s="2" t="s">
        <v>31</v>
      </c>
      <c r="C119" s="2">
        <v>42</v>
      </c>
      <c r="D119" s="2" t="s">
        <v>14</v>
      </c>
      <c r="E119" s="2" t="s">
        <v>28</v>
      </c>
      <c r="F119" s="4" t="b">
        <f>FALSE()</f>
        <v>0</v>
      </c>
      <c r="G119" s="2" t="s">
        <v>24</v>
      </c>
      <c r="H119" s="2" t="str">
        <f t="shared" si="1"/>
        <v>llama|threshold_large|42</v>
      </c>
    </row>
    <row r="120" spans="1:8" x14ac:dyDescent="0.2">
      <c r="A120" s="2" t="s">
        <v>30</v>
      </c>
      <c r="B120" s="2" t="s">
        <v>31</v>
      </c>
      <c r="C120" s="2">
        <v>51</v>
      </c>
      <c r="D120" s="2" t="s">
        <v>14</v>
      </c>
      <c r="E120" s="2" t="s">
        <v>28</v>
      </c>
      <c r="F120" s="4" t="b">
        <f>FALSE()</f>
        <v>0</v>
      </c>
      <c r="G120" s="2" t="s">
        <v>25</v>
      </c>
      <c r="H120" s="2" t="str">
        <f t="shared" si="1"/>
        <v>llama|threshold_large|51</v>
      </c>
    </row>
    <row r="121" spans="1:8" x14ac:dyDescent="0.2">
      <c r="A121" s="2" t="s">
        <v>30</v>
      </c>
      <c r="B121" s="2" t="s">
        <v>31</v>
      </c>
      <c r="C121" s="2">
        <v>52</v>
      </c>
      <c r="D121" s="2" t="s">
        <v>14</v>
      </c>
      <c r="E121" s="2" t="s">
        <v>28</v>
      </c>
      <c r="F121" s="4" t="b">
        <f>FALSE()</f>
        <v>0</v>
      </c>
      <c r="G121" s="2" t="s">
        <v>26</v>
      </c>
      <c r="H121" s="2" t="str">
        <f t="shared" si="1"/>
        <v>llama|threshold_large|52</v>
      </c>
    </row>
    <row r="122" spans="1:8" x14ac:dyDescent="0.2">
      <c r="A122" s="2" t="s">
        <v>8</v>
      </c>
      <c r="B122" s="2" t="s">
        <v>32</v>
      </c>
      <c r="C122" s="2">
        <v>1</v>
      </c>
      <c r="D122" s="2" t="s">
        <v>14</v>
      </c>
      <c r="E122" s="2" t="s">
        <v>10</v>
      </c>
      <c r="F122" s="4" t="b">
        <f>FALSE()</f>
        <v>0</v>
      </c>
      <c r="G122" s="2" t="s">
        <v>11</v>
      </c>
      <c r="H122" s="2" t="str">
        <f t="shared" si="1"/>
        <v>gpt|action|1</v>
      </c>
    </row>
    <row r="123" spans="1:8" x14ac:dyDescent="0.2">
      <c r="A123" s="2" t="s">
        <v>8</v>
      </c>
      <c r="B123" s="2" t="s">
        <v>32</v>
      </c>
      <c r="C123" s="2">
        <v>2</v>
      </c>
      <c r="D123" s="2" t="s">
        <v>14</v>
      </c>
      <c r="E123" s="2" t="s">
        <v>10</v>
      </c>
      <c r="F123" s="4" t="b">
        <f>FALSE()</f>
        <v>0</v>
      </c>
      <c r="G123" s="2" t="s">
        <v>12</v>
      </c>
      <c r="H123" s="2" t="str">
        <f t="shared" si="1"/>
        <v>gpt|action|2</v>
      </c>
    </row>
    <row r="124" spans="1:8" x14ac:dyDescent="0.2">
      <c r="A124" s="2" t="s">
        <v>8</v>
      </c>
      <c r="B124" s="2" t="s">
        <v>32</v>
      </c>
      <c r="C124" s="2">
        <v>3</v>
      </c>
      <c r="D124" s="2" t="s">
        <v>14</v>
      </c>
      <c r="E124" s="2" t="s">
        <v>10</v>
      </c>
      <c r="F124" s="4" t="b">
        <f>FALSE()</f>
        <v>0</v>
      </c>
      <c r="G124" s="2" t="s">
        <v>13</v>
      </c>
      <c r="H124" s="2" t="str">
        <f t="shared" si="1"/>
        <v>gpt|action|3</v>
      </c>
    </row>
    <row r="125" spans="1:8" x14ac:dyDescent="0.2">
      <c r="A125" s="2" t="s">
        <v>8</v>
      </c>
      <c r="B125" s="2" t="s">
        <v>32</v>
      </c>
      <c r="C125" s="2">
        <v>4</v>
      </c>
      <c r="D125" s="2" t="s">
        <v>14</v>
      </c>
      <c r="E125" s="2" t="s">
        <v>10</v>
      </c>
      <c r="F125" s="4" t="b">
        <f>FALSE()</f>
        <v>0</v>
      </c>
      <c r="G125" s="2" t="s">
        <v>15</v>
      </c>
      <c r="H125" s="2" t="str">
        <f t="shared" si="1"/>
        <v>gpt|action|4</v>
      </c>
    </row>
    <row r="126" spans="1:8" x14ac:dyDescent="0.2">
      <c r="A126" s="2" t="s">
        <v>8</v>
      </c>
      <c r="B126" s="2" t="s">
        <v>32</v>
      </c>
      <c r="C126" s="2">
        <v>11</v>
      </c>
      <c r="D126" s="2" t="s">
        <v>14</v>
      </c>
      <c r="E126" s="2" t="s">
        <v>10</v>
      </c>
      <c r="F126" s="4" t="b">
        <f>FALSE()</f>
        <v>0</v>
      </c>
      <c r="G126" s="2" t="s">
        <v>16</v>
      </c>
      <c r="H126" s="2" t="str">
        <f t="shared" si="1"/>
        <v>gpt|action|11</v>
      </c>
    </row>
    <row r="127" spans="1:8" x14ac:dyDescent="0.2">
      <c r="A127" s="2" t="s">
        <v>8</v>
      </c>
      <c r="B127" s="2" t="s">
        <v>32</v>
      </c>
      <c r="C127" s="2">
        <v>12</v>
      </c>
      <c r="D127" s="2" t="s">
        <v>14</v>
      </c>
      <c r="E127" s="2" t="s">
        <v>10</v>
      </c>
      <c r="F127" s="4" t="b">
        <f>FALSE()</f>
        <v>0</v>
      </c>
      <c r="G127" s="2" t="s">
        <v>17</v>
      </c>
      <c r="H127" s="2" t="str">
        <f t="shared" si="1"/>
        <v>gpt|action|12</v>
      </c>
    </row>
    <row r="128" spans="1:8" x14ac:dyDescent="0.2">
      <c r="A128" s="2" t="s">
        <v>8</v>
      </c>
      <c r="B128" s="2" t="s">
        <v>32</v>
      </c>
      <c r="C128" s="2">
        <v>13</v>
      </c>
      <c r="D128" s="2" t="s">
        <v>14</v>
      </c>
      <c r="E128" s="2" t="s">
        <v>10</v>
      </c>
      <c r="F128" s="4" t="b">
        <f>FALSE()</f>
        <v>0</v>
      </c>
      <c r="G128" s="2" t="s">
        <v>18</v>
      </c>
      <c r="H128" s="2" t="str">
        <f t="shared" si="1"/>
        <v>gpt|action|13</v>
      </c>
    </row>
    <row r="129" spans="1:8" x14ac:dyDescent="0.2">
      <c r="A129" s="2" t="s">
        <v>8</v>
      </c>
      <c r="B129" s="2" t="s">
        <v>32</v>
      </c>
      <c r="C129" s="2">
        <v>21</v>
      </c>
      <c r="D129" s="2" t="s">
        <v>14</v>
      </c>
      <c r="E129" s="2" t="s">
        <v>10</v>
      </c>
      <c r="F129" s="4" t="b">
        <f>FALSE()</f>
        <v>0</v>
      </c>
      <c r="G129" s="2" t="s">
        <v>19</v>
      </c>
      <c r="H129" s="2" t="str">
        <f t="shared" si="1"/>
        <v>gpt|action|21</v>
      </c>
    </row>
    <row r="130" spans="1:8" x14ac:dyDescent="0.2">
      <c r="A130" s="2" t="s">
        <v>8</v>
      </c>
      <c r="B130" s="2" t="s">
        <v>32</v>
      </c>
      <c r="C130" s="2">
        <v>22</v>
      </c>
      <c r="D130" s="2" t="s">
        <v>14</v>
      </c>
      <c r="E130" s="2" t="s">
        <v>10</v>
      </c>
      <c r="F130" s="4" t="b">
        <f>FALSE()</f>
        <v>0</v>
      </c>
      <c r="G130" s="2" t="s">
        <v>20</v>
      </c>
      <c r="H130" s="2" t="str">
        <f t="shared" ref="H130:H181" si="2">A130&amp;"|"&amp;B130&amp;"|"&amp;C130</f>
        <v>gpt|action|22</v>
      </c>
    </row>
    <row r="131" spans="1:8" x14ac:dyDescent="0.2">
      <c r="A131" s="2" t="s">
        <v>8</v>
      </c>
      <c r="B131" s="2" t="s">
        <v>32</v>
      </c>
      <c r="C131" s="2">
        <v>31</v>
      </c>
      <c r="D131" s="2" t="s">
        <v>14</v>
      </c>
      <c r="E131" s="2" t="s">
        <v>10</v>
      </c>
      <c r="F131" s="4" t="b">
        <f>FALSE()</f>
        <v>0</v>
      </c>
      <c r="G131" s="2" t="s">
        <v>21</v>
      </c>
      <c r="H131" s="2" t="str">
        <f t="shared" si="2"/>
        <v>gpt|action|31</v>
      </c>
    </row>
    <row r="132" spans="1:8" x14ac:dyDescent="0.2">
      <c r="A132" s="2" t="s">
        <v>8</v>
      </c>
      <c r="B132" s="2" t="s">
        <v>32</v>
      </c>
      <c r="C132" s="2">
        <v>32</v>
      </c>
      <c r="D132" s="2" t="s">
        <v>14</v>
      </c>
      <c r="E132" s="2" t="s">
        <v>10</v>
      </c>
      <c r="F132" s="4" t="b">
        <f>FALSE()</f>
        <v>0</v>
      </c>
      <c r="G132" s="2" t="s">
        <v>22</v>
      </c>
      <c r="H132" s="2" t="str">
        <f t="shared" si="2"/>
        <v>gpt|action|32</v>
      </c>
    </row>
    <row r="133" spans="1:8" x14ac:dyDescent="0.2">
      <c r="A133" s="2" t="s">
        <v>8</v>
      </c>
      <c r="B133" s="2" t="s">
        <v>32</v>
      </c>
      <c r="C133" s="2">
        <v>41</v>
      </c>
      <c r="D133" s="2" t="s">
        <v>10</v>
      </c>
      <c r="E133" s="2" t="s">
        <v>10</v>
      </c>
      <c r="F133" s="3" t="b">
        <f>TRUE()</f>
        <v>1</v>
      </c>
      <c r="G133" s="2" t="s">
        <v>23</v>
      </c>
      <c r="H133" s="2" t="str">
        <f t="shared" si="2"/>
        <v>gpt|action|41</v>
      </c>
    </row>
    <row r="134" spans="1:8" x14ac:dyDescent="0.2">
      <c r="A134" s="2" t="s">
        <v>8</v>
      </c>
      <c r="B134" s="2" t="s">
        <v>32</v>
      </c>
      <c r="C134" s="2">
        <v>42</v>
      </c>
      <c r="D134" s="2" t="s">
        <v>10</v>
      </c>
      <c r="E134" s="2" t="s">
        <v>10</v>
      </c>
      <c r="F134" s="3" t="b">
        <f>TRUE()</f>
        <v>1</v>
      </c>
      <c r="G134" s="2" t="s">
        <v>24</v>
      </c>
      <c r="H134" s="2" t="str">
        <f t="shared" si="2"/>
        <v>gpt|action|42</v>
      </c>
    </row>
    <row r="135" spans="1:8" x14ac:dyDescent="0.2">
      <c r="A135" s="2" t="s">
        <v>8</v>
      </c>
      <c r="B135" s="2" t="s">
        <v>32</v>
      </c>
      <c r="C135" s="2">
        <v>51</v>
      </c>
      <c r="D135" s="2" t="s">
        <v>10</v>
      </c>
      <c r="E135" s="2" t="s">
        <v>10</v>
      </c>
      <c r="F135" s="3" t="b">
        <f>TRUE()</f>
        <v>1</v>
      </c>
      <c r="G135" s="2" t="s">
        <v>25</v>
      </c>
      <c r="H135" s="2" t="str">
        <f t="shared" si="2"/>
        <v>gpt|action|51</v>
      </c>
    </row>
    <row r="136" spans="1:8" x14ac:dyDescent="0.2">
      <c r="A136" s="2" t="s">
        <v>8</v>
      </c>
      <c r="B136" s="2" t="s">
        <v>32</v>
      </c>
      <c r="C136" s="2">
        <v>52</v>
      </c>
      <c r="D136" s="2" t="s">
        <v>10</v>
      </c>
      <c r="E136" s="2" t="s">
        <v>10</v>
      </c>
      <c r="F136" s="3" t="b">
        <f>TRUE()</f>
        <v>1</v>
      </c>
      <c r="G136" s="2" t="s">
        <v>26</v>
      </c>
      <c r="H136" s="2" t="str">
        <f t="shared" si="2"/>
        <v>gpt|action|52</v>
      </c>
    </row>
    <row r="137" spans="1:8" x14ac:dyDescent="0.2">
      <c r="A137" s="2" t="s">
        <v>27</v>
      </c>
      <c r="B137" s="2" t="s">
        <v>32</v>
      </c>
      <c r="C137" s="2">
        <v>1</v>
      </c>
      <c r="D137" s="2" t="s">
        <v>14</v>
      </c>
      <c r="E137" s="2" t="s">
        <v>28</v>
      </c>
      <c r="F137" s="4" t="b">
        <f>FALSE()</f>
        <v>0</v>
      </c>
      <c r="G137" s="2" t="s">
        <v>11</v>
      </c>
      <c r="H137" s="2" t="str">
        <f t="shared" si="2"/>
        <v>claude|action|1</v>
      </c>
    </row>
    <row r="138" spans="1:8" x14ac:dyDescent="0.2">
      <c r="A138" s="2" t="s">
        <v>27</v>
      </c>
      <c r="B138" s="2" t="s">
        <v>32</v>
      </c>
      <c r="C138" s="2">
        <v>2</v>
      </c>
      <c r="D138" s="2" t="s">
        <v>14</v>
      </c>
      <c r="E138" s="2" t="s">
        <v>28</v>
      </c>
      <c r="F138" s="4" t="b">
        <f>FALSE()</f>
        <v>0</v>
      </c>
      <c r="G138" s="2" t="s">
        <v>12</v>
      </c>
      <c r="H138" s="2" t="str">
        <f t="shared" si="2"/>
        <v>claude|action|2</v>
      </c>
    </row>
    <row r="139" spans="1:8" x14ac:dyDescent="0.2">
      <c r="A139" s="2" t="s">
        <v>27</v>
      </c>
      <c r="B139" s="2" t="s">
        <v>32</v>
      </c>
      <c r="C139" s="2">
        <v>3</v>
      </c>
      <c r="D139" s="2" t="s">
        <v>14</v>
      </c>
      <c r="E139" s="2" t="s">
        <v>28</v>
      </c>
      <c r="F139" s="4" t="b">
        <f>FALSE()</f>
        <v>0</v>
      </c>
      <c r="G139" s="2" t="s">
        <v>13</v>
      </c>
      <c r="H139" s="2" t="str">
        <f t="shared" si="2"/>
        <v>claude|action|3</v>
      </c>
    </row>
    <row r="140" spans="1:8" x14ac:dyDescent="0.2">
      <c r="A140" s="2" t="s">
        <v>27</v>
      </c>
      <c r="B140" s="2" t="s">
        <v>32</v>
      </c>
      <c r="C140" s="2">
        <v>4</v>
      </c>
      <c r="D140" s="2" t="s">
        <v>14</v>
      </c>
      <c r="E140" s="2" t="s">
        <v>28</v>
      </c>
      <c r="F140" s="4" t="b">
        <f>FALSE()</f>
        <v>0</v>
      </c>
      <c r="G140" s="2" t="s">
        <v>15</v>
      </c>
      <c r="H140" s="2" t="str">
        <f t="shared" si="2"/>
        <v>claude|action|4</v>
      </c>
    </row>
    <row r="141" spans="1:8" x14ac:dyDescent="0.2">
      <c r="A141" s="2" t="s">
        <v>27</v>
      </c>
      <c r="B141" s="2" t="s">
        <v>32</v>
      </c>
      <c r="C141" s="2">
        <v>11</v>
      </c>
      <c r="D141" s="2" t="s">
        <v>14</v>
      </c>
      <c r="E141" s="2" t="s">
        <v>28</v>
      </c>
      <c r="F141" s="4" t="b">
        <f>FALSE()</f>
        <v>0</v>
      </c>
      <c r="G141" s="2" t="s">
        <v>16</v>
      </c>
      <c r="H141" s="2" t="str">
        <f t="shared" si="2"/>
        <v>claude|action|11</v>
      </c>
    </row>
    <row r="142" spans="1:8" x14ac:dyDescent="0.2">
      <c r="A142" s="2" t="s">
        <v>27</v>
      </c>
      <c r="B142" s="2" t="s">
        <v>32</v>
      </c>
      <c r="C142" s="2">
        <v>12</v>
      </c>
      <c r="D142" s="2" t="s">
        <v>14</v>
      </c>
      <c r="E142" s="2" t="s">
        <v>28</v>
      </c>
      <c r="F142" s="4" t="b">
        <f>FALSE()</f>
        <v>0</v>
      </c>
      <c r="G142" s="2" t="s">
        <v>17</v>
      </c>
      <c r="H142" s="2" t="str">
        <f t="shared" si="2"/>
        <v>claude|action|12</v>
      </c>
    </row>
    <row r="143" spans="1:8" x14ac:dyDescent="0.2">
      <c r="A143" s="2" t="s">
        <v>27</v>
      </c>
      <c r="B143" s="2" t="s">
        <v>32</v>
      </c>
      <c r="C143" s="2">
        <v>13</v>
      </c>
      <c r="D143" s="2" t="s">
        <v>14</v>
      </c>
      <c r="E143" s="2" t="s">
        <v>28</v>
      </c>
      <c r="F143" s="4" t="b">
        <f>FALSE()</f>
        <v>0</v>
      </c>
      <c r="G143" s="2" t="s">
        <v>18</v>
      </c>
      <c r="H143" s="2" t="str">
        <f t="shared" si="2"/>
        <v>claude|action|13</v>
      </c>
    </row>
    <row r="144" spans="1:8" x14ac:dyDescent="0.2">
      <c r="A144" s="2" t="s">
        <v>27</v>
      </c>
      <c r="B144" s="2" t="s">
        <v>32</v>
      </c>
      <c r="C144" s="2">
        <v>21</v>
      </c>
      <c r="D144" s="2" t="s">
        <v>14</v>
      </c>
      <c r="E144" s="2" t="s">
        <v>28</v>
      </c>
      <c r="F144" s="4" t="b">
        <f>FALSE()</f>
        <v>0</v>
      </c>
      <c r="G144" s="2" t="s">
        <v>19</v>
      </c>
      <c r="H144" s="2" t="str">
        <f t="shared" si="2"/>
        <v>claude|action|21</v>
      </c>
    </row>
    <row r="145" spans="1:8" x14ac:dyDescent="0.2">
      <c r="A145" s="2" t="s">
        <v>27</v>
      </c>
      <c r="B145" s="2" t="s">
        <v>32</v>
      </c>
      <c r="C145" s="2">
        <v>22</v>
      </c>
      <c r="D145" s="2" t="s">
        <v>14</v>
      </c>
      <c r="E145" s="2" t="s">
        <v>28</v>
      </c>
      <c r="F145" s="4" t="b">
        <f>FALSE()</f>
        <v>0</v>
      </c>
      <c r="G145" s="2" t="s">
        <v>20</v>
      </c>
      <c r="H145" s="2" t="str">
        <f t="shared" si="2"/>
        <v>claude|action|22</v>
      </c>
    </row>
    <row r="146" spans="1:8" x14ac:dyDescent="0.2">
      <c r="A146" s="2" t="s">
        <v>27</v>
      </c>
      <c r="B146" s="2" t="s">
        <v>32</v>
      </c>
      <c r="C146" s="2">
        <v>31</v>
      </c>
      <c r="D146" s="2" t="s">
        <v>14</v>
      </c>
      <c r="E146" s="2" t="s">
        <v>28</v>
      </c>
      <c r="F146" s="4" t="b">
        <f>FALSE()</f>
        <v>0</v>
      </c>
      <c r="G146" s="2" t="s">
        <v>21</v>
      </c>
      <c r="H146" s="2" t="str">
        <f t="shared" si="2"/>
        <v>claude|action|31</v>
      </c>
    </row>
    <row r="147" spans="1:8" x14ac:dyDescent="0.2">
      <c r="A147" s="2" t="s">
        <v>27</v>
      </c>
      <c r="B147" s="2" t="s">
        <v>32</v>
      </c>
      <c r="C147" s="2">
        <v>32</v>
      </c>
      <c r="D147" s="2" t="s">
        <v>14</v>
      </c>
      <c r="E147" s="2" t="s">
        <v>28</v>
      </c>
      <c r="F147" s="4" t="b">
        <f>FALSE()</f>
        <v>0</v>
      </c>
      <c r="G147" s="2" t="s">
        <v>22</v>
      </c>
      <c r="H147" s="2" t="str">
        <f t="shared" si="2"/>
        <v>claude|action|32</v>
      </c>
    </row>
    <row r="148" spans="1:8" x14ac:dyDescent="0.2">
      <c r="A148" s="2" t="s">
        <v>27</v>
      </c>
      <c r="B148" s="2" t="s">
        <v>32</v>
      </c>
      <c r="C148" s="2">
        <v>41</v>
      </c>
      <c r="D148" s="2" t="s">
        <v>10</v>
      </c>
      <c r="E148" s="2" t="s">
        <v>28</v>
      </c>
      <c r="F148" s="4" t="b">
        <f>FALSE()</f>
        <v>0</v>
      </c>
      <c r="G148" s="2" t="s">
        <v>23</v>
      </c>
      <c r="H148" s="2" t="str">
        <f t="shared" si="2"/>
        <v>claude|action|41</v>
      </c>
    </row>
    <row r="149" spans="1:8" x14ac:dyDescent="0.2">
      <c r="A149" s="2" t="s">
        <v>27</v>
      </c>
      <c r="B149" s="2" t="s">
        <v>32</v>
      </c>
      <c r="C149" s="2">
        <v>42</v>
      </c>
      <c r="D149" s="2" t="s">
        <v>10</v>
      </c>
      <c r="E149" s="2" t="s">
        <v>28</v>
      </c>
      <c r="F149" s="4" t="b">
        <f>FALSE()</f>
        <v>0</v>
      </c>
      <c r="G149" s="2" t="s">
        <v>24</v>
      </c>
      <c r="H149" s="2" t="str">
        <f t="shared" si="2"/>
        <v>claude|action|42</v>
      </c>
    </row>
    <row r="150" spans="1:8" x14ac:dyDescent="0.2">
      <c r="A150" s="2" t="s">
        <v>27</v>
      </c>
      <c r="B150" s="2" t="s">
        <v>32</v>
      </c>
      <c r="C150" s="2">
        <v>51</v>
      </c>
      <c r="D150" s="2" t="s">
        <v>10</v>
      </c>
      <c r="E150" s="2" t="s">
        <v>28</v>
      </c>
      <c r="F150" s="4" t="b">
        <f>FALSE()</f>
        <v>0</v>
      </c>
      <c r="G150" s="2" t="s">
        <v>25</v>
      </c>
      <c r="H150" s="2" t="str">
        <f t="shared" si="2"/>
        <v>claude|action|51</v>
      </c>
    </row>
    <row r="151" spans="1:8" x14ac:dyDescent="0.2">
      <c r="A151" s="2" t="s">
        <v>27</v>
      </c>
      <c r="B151" s="2" t="s">
        <v>32</v>
      </c>
      <c r="C151" s="2">
        <v>52</v>
      </c>
      <c r="D151" s="2" t="s">
        <v>10</v>
      </c>
      <c r="E151" s="2" t="s">
        <v>28</v>
      </c>
      <c r="F151" s="4" t="b">
        <f>FALSE()</f>
        <v>0</v>
      </c>
      <c r="G151" s="2" t="s">
        <v>26</v>
      </c>
      <c r="H151" s="2" t="str">
        <f t="shared" si="2"/>
        <v>claude|action|52</v>
      </c>
    </row>
    <row r="152" spans="1:8" x14ac:dyDescent="0.2">
      <c r="A152" s="2" t="s">
        <v>29</v>
      </c>
      <c r="B152" s="2" t="s">
        <v>32</v>
      </c>
      <c r="C152" s="2">
        <v>1</v>
      </c>
      <c r="D152" s="2" t="s">
        <v>14</v>
      </c>
      <c r="E152" s="2" t="s">
        <v>10</v>
      </c>
      <c r="F152" s="4" t="b">
        <f>FALSE()</f>
        <v>0</v>
      </c>
      <c r="G152" s="2" t="s">
        <v>11</v>
      </c>
      <c r="H152" s="2" t="str">
        <f t="shared" si="2"/>
        <v>gemini|action|1</v>
      </c>
    </row>
    <row r="153" spans="1:8" x14ac:dyDescent="0.2">
      <c r="A153" s="2" t="s">
        <v>29</v>
      </c>
      <c r="B153" s="2" t="s">
        <v>32</v>
      </c>
      <c r="C153" s="2">
        <v>2</v>
      </c>
      <c r="D153" s="2" t="s">
        <v>14</v>
      </c>
      <c r="E153" s="2" t="s">
        <v>10</v>
      </c>
      <c r="F153" s="4" t="b">
        <f>FALSE()</f>
        <v>0</v>
      </c>
      <c r="G153" s="2" t="s">
        <v>12</v>
      </c>
      <c r="H153" s="2" t="str">
        <f t="shared" si="2"/>
        <v>gemini|action|2</v>
      </c>
    </row>
    <row r="154" spans="1:8" x14ac:dyDescent="0.2">
      <c r="A154" s="2" t="s">
        <v>29</v>
      </c>
      <c r="B154" s="2" t="s">
        <v>32</v>
      </c>
      <c r="C154" s="2">
        <v>3</v>
      </c>
      <c r="D154" s="2" t="s">
        <v>14</v>
      </c>
      <c r="E154" s="2" t="s">
        <v>10</v>
      </c>
      <c r="F154" s="4" t="b">
        <f>FALSE()</f>
        <v>0</v>
      </c>
      <c r="G154" s="2" t="s">
        <v>13</v>
      </c>
      <c r="H154" s="2" t="str">
        <f t="shared" si="2"/>
        <v>gemini|action|3</v>
      </c>
    </row>
    <row r="155" spans="1:8" x14ac:dyDescent="0.2">
      <c r="A155" s="2" t="s">
        <v>29</v>
      </c>
      <c r="B155" s="2" t="s">
        <v>32</v>
      </c>
      <c r="C155" s="2">
        <v>4</v>
      </c>
      <c r="D155" s="2" t="s">
        <v>14</v>
      </c>
      <c r="E155" s="2" t="s">
        <v>10</v>
      </c>
      <c r="F155" s="4" t="b">
        <f>FALSE()</f>
        <v>0</v>
      </c>
      <c r="G155" s="2" t="s">
        <v>15</v>
      </c>
      <c r="H155" s="2" t="str">
        <f t="shared" si="2"/>
        <v>gemini|action|4</v>
      </c>
    </row>
    <row r="156" spans="1:8" x14ac:dyDescent="0.2">
      <c r="A156" s="2" t="s">
        <v>29</v>
      </c>
      <c r="B156" s="2" t="s">
        <v>32</v>
      </c>
      <c r="C156" s="2">
        <v>11</v>
      </c>
      <c r="D156" s="2" t="s">
        <v>14</v>
      </c>
      <c r="E156" s="2" t="s">
        <v>10</v>
      </c>
      <c r="F156" s="4" t="b">
        <f>FALSE()</f>
        <v>0</v>
      </c>
      <c r="G156" s="2" t="s">
        <v>16</v>
      </c>
      <c r="H156" s="2" t="str">
        <f t="shared" si="2"/>
        <v>gemini|action|11</v>
      </c>
    </row>
    <row r="157" spans="1:8" x14ac:dyDescent="0.2">
      <c r="A157" s="2" t="s">
        <v>29</v>
      </c>
      <c r="B157" s="2" t="s">
        <v>32</v>
      </c>
      <c r="C157" s="2">
        <v>12</v>
      </c>
      <c r="D157" s="2" t="s">
        <v>14</v>
      </c>
      <c r="E157" s="2" t="s">
        <v>10</v>
      </c>
      <c r="F157" s="4" t="b">
        <f>FALSE()</f>
        <v>0</v>
      </c>
      <c r="G157" s="2" t="s">
        <v>17</v>
      </c>
      <c r="H157" s="2" t="str">
        <f t="shared" si="2"/>
        <v>gemini|action|12</v>
      </c>
    </row>
    <row r="158" spans="1:8" x14ac:dyDescent="0.2">
      <c r="A158" s="2" t="s">
        <v>29</v>
      </c>
      <c r="B158" s="2" t="s">
        <v>32</v>
      </c>
      <c r="C158" s="2">
        <v>13</v>
      </c>
      <c r="D158" s="2" t="s">
        <v>14</v>
      </c>
      <c r="E158" s="2" t="s">
        <v>10</v>
      </c>
      <c r="F158" s="4" t="b">
        <f>FALSE()</f>
        <v>0</v>
      </c>
      <c r="G158" s="2" t="s">
        <v>18</v>
      </c>
      <c r="H158" s="2" t="str">
        <f t="shared" si="2"/>
        <v>gemini|action|13</v>
      </c>
    </row>
    <row r="159" spans="1:8" x14ac:dyDescent="0.2">
      <c r="A159" s="2" t="s">
        <v>29</v>
      </c>
      <c r="B159" s="2" t="s">
        <v>32</v>
      </c>
      <c r="C159" s="2">
        <v>21</v>
      </c>
      <c r="D159" s="2" t="s">
        <v>14</v>
      </c>
      <c r="E159" s="2" t="s">
        <v>10</v>
      </c>
      <c r="F159" s="4" t="b">
        <f>FALSE()</f>
        <v>0</v>
      </c>
      <c r="G159" s="2" t="s">
        <v>19</v>
      </c>
      <c r="H159" s="2" t="str">
        <f t="shared" si="2"/>
        <v>gemini|action|21</v>
      </c>
    </row>
    <row r="160" spans="1:8" x14ac:dyDescent="0.2">
      <c r="A160" s="2" t="s">
        <v>29</v>
      </c>
      <c r="B160" s="2" t="s">
        <v>32</v>
      </c>
      <c r="C160" s="2">
        <v>22</v>
      </c>
      <c r="D160" s="2" t="s">
        <v>14</v>
      </c>
      <c r="E160" s="2" t="s">
        <v>10</v>
      </c>
      <c r="F160" s="4" t="b">
        <f>FALSE()</f>
        <v>0</v>
      </c>
      <c r="G160" s="2" t="s">
        <v>20</v>
      </c>
      <c r="H160" s="2" t="str">
        <f t="shared" si="2"/>
        <v>gemini|action|22</v>
      </c>
    </row>
    <row r="161" spans="1:8" x14ac:dyDescent="0.2">
      <c r="A161" s="2" t="s">
        <v>29</v>
      </c>
      <c r="B161" s="2" t="s">
        <v>32</v>
      </c>
      <c r="C161" s="2">
        <v>31</v>
      </c>
      <c r="D161" s="2" t="s">
        <v>14</v>
      </c>
      <c r="E161" s="2" t="s">
        <v>10</v>
      </c>
      <c r="F161" s="4" t="b">
        <f>FALSE()</f>
        <v>0</v>
      </c>
      <c r="G161" s="2" t="s">
        <v>21</v>
      </c>
      <c r="H161" s="2" t="str">
        <f t="shared" si="2"/>
        <v>gemini|action|31</v>
      </c>
    </row>
    <row r="162" spans="1:8" x14ac:dyDescent="0.2">
      <c r="A162" s="2" t="s">
        <v>29</v>
      </c>
      <c r="B162" s="2" t="s">
        <v>32</v>
      </c>
      <c r="C162" s="2">
        <v>32</v>
      </c>
      <c r="D162" s="2" t="s">
        <v>14</v>
      </c>
      <c r="E162" s="2" t="s">
        <v>10</v>
      </c>
      <c r="F162" s="4" t="b">
        <f>FALSE()</f>
        <v>0</v>
      </c>
      <c r="G162" s="2" t="s">
        <v>22</v>
      </c>
      <c r="H162" s="2" t="str">
        <f t="shared" si="2"/>
        <v>gemini|action|32</v>
      </c>
    </row>
    <row r="163" spans="1:8" x14ac:dyDescent="0.2">
      <c r="A163" s="2" t="s">
        <v>29</v>
      </c>
      <c r="B163" s="2" t="s">
        <v>32</v>
      </c>
      <c r="C163" s="2">
        <v>41</v>
      </c>
      <c r="D163" s="2" t="s">
        <v>10</v>
      </c>
      <c r="E163" s="2" t="s">
        <v>10</v>
      </c>
      <c r="F163" s="3" t="b">
        <f>TRUE()</f>
        <v>1</v>
      </c>
      <c r="G163" s="2" t="s">
        <v>23</v>
      </c>
      <c r="H163" s="2" t="str">
        <f t="shared" si="2"/>
        <v>gemini|action|41</v>
      </c>
    </row>
    <row r="164" spans="1:8" x14ac:dyDescent="0.2">
      <c r="A164" s="2" t="s">
        <v>29</v>
      </c>
      <c r="B164" s="2" t="s">
        <v>32</v>
      </c>
      <c r="C164" s="2">
        <v>42</v>
      </c>
      <c r="D164" s="2" t="s">
        <v>10</v>
      </c>
      <c r="E164" s="2" t="s">
        <v>10</v>
      </c>
      <c r="F164" s="3" t="b">
        <f>TRUE()</f>
        <v>1</v>
      </c>
      <c r="G164" s="2" t="s">
        <v>24</v>
      </c>
      <c r="H164" s="2" t="str">
        <f t="shared" si="2"/>
        <v>gemini|action|42</v>
      </c>
    </row>
    <row r="165" spans="1:8" x14ac:dyDescent="0.2">
      <c r="A165" s="2" t="s">
        <v>29</v>
      </c>
      <c r="B165" s="2" t="s">
        <v>32</v>
      </c>
      <c r="C165" s="2">
        <v>51</v>
      </c>
      <c r="D165" s="2" t="s">
        <v>10</v>
      </c>
      <c r="E165" s="2" t="s">
        <v>10</v>
      </c>
      <c r="F165" s="3" t="b">
        <f>TRUE()</f>
        <v>1</v>
      </c>
      <c r="G165" s="2" t="s">
        <v>25</v>
      </c>
      <c r="H165" s="2" t="str">
        <f t="shared" si="2"/>
        <v>gemini|action|51</v>
      </c>
    </row>
    <row r="166" spans="1:8" x14ac:dyDescent="0.2">
      <c r="A166" s="2" t="s">
        <v>29</v>
      </c>
      <c r="B166" s="2" t="s">
        <v>32</v>
      </c>
      <c r="C166" s="2">
        <v>52</v>
      </c>
      <c r="D166" s="2" t="s">
        <v>10</v>
      </c>
      <c r="E166" s="2" t="s">
        <v>10</v>
      </c>
      <c r="F166" s="3" t="b">
        <f>TRUE()</f>
        <v>1</v>
      </c>
      <c r="G166" s="2" t="s">
        <v>26</v>
      </c>
      <c r="H166" s="2" t="str">
        <f t="shared" si="2"/>
        <v>gemini|action|52</v>
      </c>
    </row>
    <row r="167" spans="1:8" x14ac:dyDescent="0.2">
      <c r="A167" s="2" t="s">
        <v>30</v>
      </c>
      <c r="B167" s="2" t="s">
        <v>32</v>
      </c>
      <c r="C167" s="2">
        <v>1</v>
      </c>
      <c r="D167" s="2" t="s">
        <v>14</v>
      </c>
      <c r="E167" s="2" t="s">
        <v>28</v>
      </c>
      <c r="F167" s="4" t="b">
        <f>FALSE()</f>
        <v>0</v>
      </c>
      <c r="G167" s="2" t="s">
        <v>11</v>
      </c>
      <c r="H167" s="2" t="str">
        <f t="shared" si="2"/>
        <v>llama|action|1</v>
      </c>
    </row>
    <row r="168" spans="1:8" x14ac:dyDescent="0.2">
      <c r="A168" s="2" t="s">
        <v>30</v>
      </c>
      <c r="B168" s="2" t="s">
        <v>32</v>
      </c>
      <c r="C168" s="2">
        <v>2</v>
      </c>
      <c r="D168" s="2" t="s">
        <v>14</v>
      </c>
      <c r="E168" s="2" t="s">
        <v>28</v>
      </c>
      <c r="F168" s="4" t="b">
        <f>FALSE()</f>
        <v>0</v>
      </c>
      <c r="G168" s="2" t="s">
        <v>12</v>
      </c>
      <c r="H168" s="2" t="str">
        <f t="shared" si="2"/>
        <v>llama|action|2</v>
      </c>
    </row>
    <row r="169" spans="1:8" x14ac:dyDescent="0.2">
      <c r="A169" s="2" t="s">
        <v>30</v>
      </c>
      <c r="B169" s="2" t="s">
        <v>32</v>
      </c>
      <c r="C169" s="2">
        <v>3</v>
      </c>
      <c r="D169" s="2" t="s">
        <v>14</v>
      </c>
      <c r="E169" s="2" t="s">
        <v>28</v>
      </c>
      <c r="F169" s="4" t="b">
        <f>FALSE()</f>
        <v>0</v>
      </c>
      <c r="G169" s="2" t="s">
        <v>13</v>
      </c>
      <c r="H169" s="2" t="str">
        <f t="shared" si="2"/>
        <v>llama|action|3</v>
      </c>
    </row>
    <row r="170" spans="1:8" x14ac:dyDescent="0.2">
      <c r="A170" s="2" t="s">
        <v>30</v>
      </c>
      <c r="B170" s="2" t="s">
        <v>32</v>
      </c>
      <c r="C170" s="2">
        <v>4</v>
      </c>
      <c r="D170" s="2" t="s">
        <v>14</v>
      </c>
      <c r="E170" s="2" t="s">
        <v>28</v>
      </c>
      <c r="F170" s="4" t="b">
        <f>FALSE()</f>
        <v>0</v>
      </c>
      <c r="G170" s="2" t="s">
        <v>15</v>
      </c>
      <c r="H170" s="2" t="str">
        <f t="shared" si="2"/>
        <v>llama|action|4</v>
      </c>
    </row>
    <row r="171" spans="1:8" x14ac:dyDescent="0.2">
      <c r="A171" s="2" t="s">
        <v>30</v>
      </c>
      <c r="B171" s="2" t="s">
        <v>32</v>
      </c>
      <c r="C171" s="2">
        <v>11</v>
      </c>
      <c r="D171" s="2" t="s">
        <v>14</v>
      </c>
      <c r="E171" s="2" t="s">
        <v>28</v>
      </c>
      <c r="F171" s="4" t="b">
        <f>FALSE()</f>
        <v>0</v>
      </c>
      <c r="G171" s="2" t="s">
        <v>16</v>
      </c>
      <c r="H171" s="2" t="str">
        <f t="shared" si="2"/>
        <v>llama|action|11</v>
      </c>
    </row>
    <row r="172" spans="1:8" x14ac:dyDescent="0.2">
      <c r="A172" s="2" t="s">
        <v>30</v>
      </c>
      <c r="B172" s="2" t="s">
        <v>32</v>
      </c>
      <c r="C172" s="2">
        <v>12</v>
      </c>
      <c r="D172" s="2" t="s">
        <v>14</v>
      </c>
      <c r="E172" s="2" t="s">
        <v>28</v>
      </c>
      <c r="F172" s="4" t="b">
        <f>FALSE()</f>
        <v>0</v>
      </c>
      <c r="G172" s="2" t="s">
        <v>17</v>
      </c>
      <c r="H172" s="2" t="str">
        <f t="shared" si="2"/>
        <v>llama|action|12</v>
      </c>
    </row>
    <row r="173" spans="1:8" x14ac:dyDescent="0.2">
      <c r="A173" s="2" t="s">
        <v>30</v>
      </c>
      <c r="B173" s="2" t="s">
        <v>32</v>
      </c>
      <c r="C173" s="2">
        <v>13</v>
      </c>
      <c r="D173" s="2" t="s">
        <v>14</v>
      </c>
      <c r="E173" s="2" t="s">
        <v>28</v>
      </c>
      <c r="F173" s="4" t="b">
        <f>FALSE()</f>
        <v>0</v>
      </c>
      <c r="G173" s="2" t="s">
        <v>18</v>
      </c>
      <c r="H173" s="2" t="str">
        <f t="shared" si="2"/>
        <v>llama|action|13</v>
      </c>
    </row>
    <row r="174" spans="1:8" x14ac:dyDescent="0.2">
      <c r="A174" s="2" t="s">
        <v>30</v>
      </c>
      <c r="B174" s="2" t="s">
        <v>32</v>
      </c>
      <c r="C174" s="2">
        <v>21</v>
      </c>
      <c r="D174" s="2" t="s">
        <v>14</v>
      </c>
      <c r="E174" s="2" t="s">
        <v>28</v>
      </c>
      <c r="F174" s="4" t="b">
        <f>FALSE()</f>
        <v>0</v>
      </c>
      <c r="G174" s="2" t="s">
        <v>19</v>
      </c>
      <c r="H174" s="2" t="str">
        <f t="shared" si="2"/>
        <v>llama|action|21</v>
      </c>
    </row>
    <row r="175" spans="1:8" x14ac:dyDescent="0.2">
      <c r="A175" s="2" t="s">
        <v>30</v>
      </c>
      <c r="B175" s="2" t="s">
        <v>32</v>
      </c>
      <c r="C175" s="2">
        <v>22</v>
      </c>
      <c r="D175" s="2" t="s">
        <v>14</v>
      </c>
      <c r="E175" s="2" t="s">
        <v>28</v>
      </c>
      <c r="F175" s="4" t="b">
        <f>FALSE()</f>
        <v>0</v>
      </c>
      <c r="G175" s="2" t="s">
        <v>20</v>
      </c>
      <c r="H175" s="2" t="str">
        <f t="shared" si="2"/>
        <v>llama|action|22</v>
      </c>
    </row>
    <row r="176" spans="1:8" x14ac:dyDescent="0.2">
      <c r="A176" s="2" t="s">
        <v>30</v>
      </c>
      <c r="B176" s="2" t="s">
        <v>32</v>
      </c>
      <c r="C176" s="2">
        <v>31</v>
      </c>
      <c r="D176" s="2" t="s">
        <v>14</v>
      </c>
      <c r="E176" s="2" t="s">
        <v>28</v>
      </c>
      <c r="F176" s="4" t="b">
        <f>FALSE()</f>
        <v>0</v>
      </c>
      <c r="G176" s="2" t="s">
        <v>21</v>
      </c>
      <c r="H176" s="2" t="str">
        <f t="shared" si="2"/>
        <v>llama|action|31</v>
      </c>
    </row>
    <row r="177" spans="1:8" x14ac:dyDescent="0.2">
      <c r="A177" s="2" t="s">
        <v>30</v>
      </c>
      <c r="B177" s="2" t="s">
        <v>32</v>
      </c>
      <c r="C177" s="2">
        <v>32</v>
      </c>
      <c r="D177" s="2" t="s">
        <v>14</v>
      </c>
      <c r="E177" s="2" t="s">
        <v>28</v>
      </c>
      <c r="F177" s="4" t="b">
        <f>FALSE()</f>
        <v>0</v>
      </c>
      <c r="G177" s="2" t="s">
        <v>22</v>
      </c>
      <c r="H177" s="2" t="str">
        <f t="shared" si="2"/>
        <v>llama|action|32</v>
      </c>
    </row>
    <row r="178" spans="1:8" x14ac:dyDescent="0.2">
      <c r="A178" s="2" t="s">
        <v>30</v>
      </c>
      <c r="B178" s="2" t="s">
        <v>32</v>
      </c>
      <c r="C178" s="2">
        <v>41</v>
      </c>
      <c r="D178" s="2" t="s">
        <v>10</v>
      </c>
      <c r="E178" s="2" t="s">
        <v>28</v>
      </c>
      <c r="F178" s="4" t="b">
        <f>FALSE()</f>
        <v>0</v>
      </c>
      <c r="G178" s="2" t="s">
        <v>23</v>
      </c>
      <c r="H178" s="2" t="str">
        <f t="shared" si="2"/>
        <v>llama|action|41</v>
      </c>
    </row>
    <row r="179" spans="1:8" x14ac:dyDescent="0.2">
      <c r="A179" s="2" t="s">
        <v>30</v>
      </c>
      <c r="B179" s="2" t="s">
        <v>32</v>
      </c>
      <c r="C179" s="2">
        <v>42</v>
      </c>
      <c r="D179" s="2" t="s">
        <v>10</v>
      </c>
      <c r="E179" s="2" t="s">
        <v>28</v>
      </c>
      <c r="F179" s="4" t="b">
        <f>FALSE()</f>
        <v>0</v>
      </c>
      <c r="G179" s="2" t="s">
        <v>24</v>
      </c>
      <c r="H179" s="2" t="str">
        <f t="shared" si="2"/>
        <v>llama|action|42</v>
      </c>
    </row>
    <row r="180" spans="1:8" x14ac:dyDescent="0.2">
      <c r="A180" s="2" t="s">
        <v>30</v>
      </c>
      <c r="B180" s="2" t="s">
        <v>32</v>
      </c>
      <c r="C180" s="2">
        <v>51</v>
      </c>
      <c r="D180" s="2" t="s">
        <v>10</v>
      </c>
      <c r="E180" s="2" t="s">
        <v>28</v>
      </c>
      <c r="F180" s="4" t="b">
        <f>FALSE()</f>
        <v>0</v>
      </c>
      <c r="G180" s="2" t="s">
        <v>25</v>
      </c>
      <c r="H180" s="2" t="str">
        <f t="shared" si="2"/>
        <v>llama|action|51</v>
      </c>
    </row>
    <row r="181" spans="1:8" x14ac:dyDescent="0.2">
      <c r="A181" s="2" t="s">
        <v>30</v>
      </c>
      <c r="B181" s="2" t="s">
        <v>32</v>
      </c>
      <c r="C181" s="2">
        <v>52</v>
      </c>
      <c r="D181" s="2" t="s">
        <v>10</v>
      </c>
      <c r="E181" s="2" t="s">
        <v>28</v>
      </c>
      <c r="F181" s="4" t="b">
        <f>FALSE()</f>
        <v>0</v>
      </c>
      <c r="G181" s="2" t="s">
        <v>26</v>
      </c>
      <c r="H181" s="2" t="str">
        <f t="shared" si="2"/>
        <v>llama|action|52</v>
      </c>
    </row>
    <row r="185" spans="1:8" x14ac:dyDescent="0.2">
      <c r="A185" s="1" t="s">
        <v>0</v>
      </c>
      <c r="B185" s="1" t="s">
        <v>1</v>
      </c>
      <c r="C185" s="1" t="s">
        <v>5</v>
      </c>
      <c r="D185" s="1" t="s">
        <v>33</v>
      </c>
      <c r="E185" s="1" t="s">
        <v>34</v>
      </c>
      <c r="F185" s="1" t="s">
        <v>35</v>
      </c>
    </row>
    <row r="186" spans="1:8" x14ac:dyDescent="0.2">
      <c r="A186" s="2" t="s">
        <v>8</v>
      </c>
      <c r="B186" s="2" t="s">
        <v>9</v>
      </c>
      <c r="C186" s="2">
        <f>COUNTIFS(A2:A181,"gpt", B2:B181,"threshold_small", F2:F181,TRUE)</f>
        <v>15</v>
      </c>
      <c r="D186" s="2">
        <v>15</v>
      </c>
      <c r="E186" s="5">
        <f t="shared" ref="E186:E197" si="3">IF(D186=0,0,C186/D186)</f>
        <v>1</v>
      </c>
      <c r="F186" s="2">
        <f>COUNTIFS(A2:A181,"gpt", B2:B181,"threshold_small", E2:E181,"PARSE_ERROR")</f>
        <v>0</v>
      </c>
    </row>
    <row r="187" spans="1:8" x14ac:dyDescent="0.2">
      <c r="A187" s="2" t="s">
        <v>27</v>
      </c>
      <c r="B187" s="2" t="s">
        <v>9</v>
      </c>
      <c r="C187" s="2">
        <f>COUNTIFS(A2:A181,"claude", B2:B181,"threshold_small", F2:F181,TRUE)</f>
        <v>3</v>
      </c>
      <c r="D187" s="2">
        <v>15</v>
      </c>
      <c r="E187" s="5">
        <f t="shared" si="3"/>
        <v>0.2</v>
      </c>
      <c r="F187" s="2">
        <f>COUNTIFS(A2:A181,"claude", B2:B181,"threshold_small", E2:E181,"PARSE_ERROR")</f>
        <v>12</v>
      </c>
    </row>
    <row r="188" spans="1:8" x14ac:dyDescent="0.2">
      <c r="A188" s="2" t="s">
        <v>29</v>
      </c>
      <c r="B188" s="2" t="s">
        <v>9</v>
      </c>
      <c r="C188" s="2">
        <f>COUNTIFS(A2:A181,"gemini", B2:B181,"threshold_small", F2:F181,TRUE)</f>
        <v>15</v>
      </c>
      <c r="D188" s="2">
        <v>15</v>
      </c>
      <c r="E188" s="5">
        <f t="shared" si="3"/>
        <v>1</v>
      </c>
      <c r="F188" s="2">
        <f>COUNTIFS(A2:A181,"gemini", B2:B181,"threshold_small", E2:E181,"PARSE_ERROR")</f>
        <v>0</v>
      </c>
    </row>
    <row r="189" spans="1:8" x14ac:dyDescent="0.2">
      <c r="A189" s="2" t="s">
        <v>30</v>
      </c>
      <c r="B189" s="2" t="s">
        <v>9</v>
      </c>
      <c r="C189" s="2">
        <f>COUNTIFS(A2:A181,"llama", B2:B181,"threshold_small", F2:F181,TRUE)</f>
        <v>0</v>
      </c>
      <c r="D189" s="2">
        <v>15</v>
      </c>
      <c r="E189" s="5">
        <f t="shared" si="3"/>
        <v>0</v>
      </c>
      <c r="F189" s="2">
        <f>COUNTIFS(A2:A181,"llama", B2:B181,"threshold_small", E2:E181,"PARSE_ERROR")</f>
        <v>15</v>
      </c>
    </row>
    <row r="190" spans="1:8" x14ac:dyDescent="0.2">
      <c r="A190" s="2" t="s">
        <v>8</v>
      </c>
      <c r="B190" s="2" t="s">
        <v>31</v>
      </c>
      <c r="C190" s="2">
        <f>COUNTIFS(A2:A181,"gpt", B2:B181,"threshold_large", F2:F181,TRUE)</f>
        <v>15</v>
      </c>
      <c r="D190" s="2">
        <v>15</v>
      </c>
      <c r="E190" s="5">
        <f t="shared" si="3"/>
        <v>1</v>
      </c>
      <c r="F190" s="2">
        <f>COUNTIFS(A2:A181,"gpt", B2:B181,"threshold_large", E2:E181,"PARSE_ERROR")</f>
        <v>0</v>
      </c>
    </row>
    <row r="191" spans="1:8" x14ac:dyDescent="0.2">
      <c r="A191" s="2" t="s">
        <v>27</v>
      </c>
      <c r="B191" s="2" t="s">
        <v>31</v>
      </c>
      <c r="C191" s="2">
        <f>COUNTIFS(A2:A181,"claude", B2:B181,"threshold_large", F2:F181,TRUE)</f>
        <v>4</v>
      </c>
      <c r="D191" s="2">
        <v>15</v>
      </c>
      <c r="E191" s="5">
        <f t="shared" si="3"/>
        <v>0.26666666666666666</v>
      </c>
      <c r="F191" s="2">
        <f>COUNTIFS(A2:A181,"claude", B2:B181,"threshold_large", E2:E181,"PARSE_ERROR")</f>
        <v>11</v>
      </c>
    </row>
    <row r="192" spans="1:8" x14ac:dyDescent="0.2">
      <c r="A192" s="2" t="s">
        <v>29</v>
      </c>
      <c r="B192" s="2" t="s">
        <v>31</v>
      </c>
      <c r="C192" s="2">
        <f>COUNTIFS(A2:A181,"gemini", B2:B181,"threshold_large", F2:F181,TRUE)</f>
        <v>15</v>
      </c>
      <c r="D192" s="2">
        <v>15</v>
      </c>
      <c r="E192" s="5">
        <f t="shared" si="3"/>
        <v>1</v>
      </c>
      <c r="F192" s="2">
        <f>COUNTIFS(A2:A181,"gemini", B2:B181,"threshold_large", E2:E181,"PARSE_ERROR")</f>
        <v>0</v>
      </c>
    </row>
    <row r="193" spans="1:6" x14ac:dyDescent="0.2">
      <c r="A193" s="2" t="s">
        <v>30</v>
      </c>
      <c r="B193" s="2" t="s">
        <v>31</v>
      </c>
      <c r="C193" s="2">
        <f>COUNTIFS(A2:A181,"llama", B2:B181,"threshold_large", F2:F181,TRUE)</f>
        <v>0</v>
      </c>
      <c r="D193" s="2">
        <v>15</v>
      </c>
      <c r="E193" s="5">
        <f t="shared" si="3"/>
        <v>0</v>
      </c>
      <c r="F193" s="2">
        <f>COUNTIFS(A2:A181,"llama", B2:B181,"threshold_large", E2:E181,"PARSE_ERROR")</f>
        <v>15</v>
      </c>
    </row>
    <row r="194" spans="1:6" x14ac:dyDescent="0.2">
      <c r="A194" s="2" t="s">
        <v>8</v>
      </c>
      <c r="B194" s="2" t="s">
        <v>32</v>
      </c>
      <c r="C194" s="2">
        <f>COUNTIFS(A2:A181,"gpt", B2:B181,"action", F2:F181,TRUE)</f>
        <v>4</v>
      </c>
      <c r="D194" s="2">
        <v>15</v>
      </c>
      <c r="E194" s="5">
        <f t="shared" si="3"/>
        <v>0.26666666666666666</v>
      </c>
      <c r="F194" s="2">
        <f>COUNTIFS(A2:A181,"gpt", B2:B181,"action", E2:E181,"PARSE_ERROR")</f>
        <v>0</v>
      </c>
    </row>
    <row r="195" spans="1:6" x14ac:dyDescent="0.2">
      <c r="A195" s="2" t="s">
        <v>27</v>
      </c>
      <c r="B195" s="2" t="s">
        <v>32</v>
      </c>
      <c r="C195" s="2">
        <f>COUNTIFS(A2:A181,"claude", B2:B181,"action", F2:F181,TRUE)</f>
        <v>0</v>
      </c>
      <c r="D195" s="2">
        <v>15</v>
      </c>
      <c r="E195" s="5">
        <f t="shared" si="3"/>
        <v>0</v>
      </c>
      <c r="F195" s="2">
        <f>COUNTIFS(A2:A181,"claude", B2:B181,"action", E2:E181,"PARSE_ERROR")</f>
        <v>15</v>
      </c>
    </row>
    <row r="196" spans="1:6" x14ac:dyDescent="0.2">
      <c r="A196" s="2" t="s">
        <v>29</v>
      </c>
      <c r="B196" s="2" t="s">
        <v>32</v>
      </c>
      <c r="C196" s="2">
        <f>COUNTIFS(A2:A181,"gemini", B2:B181,"action", F2:F181,TRUE)</f>
        <v>4</v>
      </c>
      <c r="D196" s="2">
        <v>15</v>
      </c>
      <c r="E196" s="5">
        <f t="shared" si="3"/>
        <v>0.26666666666666666</v>
      </c>
      <c r="F196" s="2">
        <f>COUNTIFS(A2:A181,"gemini", B2:B181,"action", E2:E181,"PARSE_ERROR")</f>
        <v>0</v>
      </c>
    </row>
    <row r="197" spans="1:6" x14ac:dyDescent="0.2">
      <c r="A197" s="2" t="s">
        <v>30</v>
      </c>
      <c r="B197" s="2" t="s">
        <v>32</v>
      </c>
      <c r="C197" s="2">
        <f>COUNTIFS(A2:A181,"llama", B2:B181,"action", F2:F181,TRUE)</f>
        <v>0</v>
      </c>
      <c r="D197" s="2">
        <v>15</v>
      </c>
      <c r="E197" s="5">
        <f t="shared" si="3"/>
        <v>0</v>
      </c>
      <c r="F197" s="2">
        <f>COUNTIFS(A2:A181,"llama", B2:B181,"action", E2:E181,"PARSE_ERROR")</f>
        <v>15</v>
      </c>
    </row>
    <row r="201" spans="1:6" x14ac:dyDescent="0.2">
      <c r="A201" s="6" t="s">
        <v>36</v>
      </c>
    </row>
    <row r="202" spans="1:6" x14ac:dyDescent="0.2">
      <c r="A202" s="1" t="s">
        <v>0</v>
      </c>
      <c r="B202" s="1" t="s">
        <v>37</v>
      </c>
      <c r="C202" s="1" t="s">
        <v>38</v>
      </c>
      <c r="D202" s="1" t="s">
        <v>39</v>
      </c>
    </row>
    <row r="203" spans="1:6" x14ac:dyDescent="0.2">
      <c r="A203" s="2" t="s">
        <v>8</v>
      </c>
      <c r="B203" s="5">
        <v>1</v>
      </c>
      <c r="C203" s="5">
        <v>1</v>
      </c>
      <c r="D203" s="7">
        <f>IF(OR(B203="N/A",C203="N/A"),"N/A",C203-B203)</f>
        <v>0</v>
      </c>
    </row>
    <row r="204" spans="1:6" x14ac:dyDescent="0.2">
      <c r="A204" s="2" t="s">
        <v>27</v>
      </c>
      <c r="B204" s="5">
        <v>0.2</v>
      </c>
      <c r="C204" s="5">
        <v>0.26700000000000002</v>
      </c>
      <c r="D204" s="7">
        <f>IF(OR(B204="N/A",C204="N/A"),"N/A",C204-B204)</f>
        <v>6.7000000000000004E-2</v>
      </c>
    </row>
    <row r="205" spans="1:6" x14ac:dyDescent="0.2">
      <c r="A205" s="2" t="s">
        <v>29</v>
      </c>
      <c r="B205" s="5">
        <v>1</v>
      </c>
      <c r="C205" s="5">
        <v>1</v>
      </c>
      <c r="D205" s="7">
        <f>IF(OR(B205="N/A",C205="N/A"),"N/A",C205-B205)</f>
        <v>0</v>
      </c>
    </row>
    <row r="206" spans="1:6" x14ac:dyDescent="0.2">
      <c r="A206" s="2" t="s">
        <v>30</v>
      </c>
      <c r="B206" s="5">
        <v>0</v>
      </c>
      <c r="C206" s="5">
        <v>0</v>
      </c>
      <c r="D206" s="7">
        <f>IF(OR(B206="N/A",C206="N/A"),"N/A",C206-B206)</f>
        <v>0</v>
      </c>
    </row>
    <row r="210" spans="1:8" x14ac:dyDescent="0.2">
      <c r="A210" s="1" t="s">
        <v>0</v>
      </c>
      <c r="B210" s="1" t="s">
        <v>1</v>
      </c>
      <c r="C210" s="1" t="s">
        <v>2</v>
      </c>
      <c r="D210" s="1" t="s">
        <v>4</v>
      </c>
      <c r="E210" s="1" t="s">
        <v>3</v>
      </c>
      <c r="F210" s="1" t="s">
        <v>43</v>
      </c>
      <c r="G210" s="1" t="s">
        <v>41</v>
      </c>
      <c r="H210" s="1" t="s">
        <v>42</v>
      </c>
    </row>
    <row r="211" spans="1:8" x14ac:dyDescent="0.2">
      <c r="A211" s="2" t="s">
        <v>8</v>
      </c>
      <c r="B211" s="2" t="s">
        <v>9</v>
      </c>
      <c r="C211" s="2">
        <v>1</v>
      </c>
      <c r="D211" s="2" t="s">
        <v>10</v>
      </c>
      <c r="E211" s="2" t="s">
        <v>10</v>
      </c>
      <c r="F211" s="2" t="s">
        <v>10</v>
      </c>
      <c r="G211" t="b">
        <f>IF(F211="N/A",FALSE,E211&lt;&gt;F211)</f>
        <v>0</v>
      </c>
      <c r="H211" t="str">
        <f>IF(D211="PARSE_ERROR","Parse Error",IF(NOT(G211),IF(D211=E211,"No Conflict (Correct)","No Conflict (Incorrect)"),IF(D211=E211,"Guideline-compliant",IF(D211=F211,"Knowledge-override","Neither"))))</f>
        <v>No Conflict (Correct)</v>
      </c>
    </row>
    <row r="212" spans="1:8" x14ac:dyDescent="0.2">
      <c r="A212" s="2" t="s">
        <v>8</v>
      </c>
      <c r="B212" s="2" t="s">
        <v>9</v>
      </c>
      <c r="C212" s="2">
        <v>2</v>
      </c>
      <c r="D212" s="2" t="s">
        <v>10</v>
      </c>
      <c r="E212" s="2" t="s">
        <v>10</v>
      </c>
      <c r="F212" s="2" t="s">
        <v>10</v>
      </c>
      <c r="G212" t="b">
        <f t="shared" ref="G212:G275" si="4">IF(F212="N/A",FALSE,E212&lt;&gt;F212)</f>
        <v>0</v>
      </c>
      <c r="H212" t="str">
        <f>IF(D212="PARSE_ERROR","Parse Error",IF(NOT(G212),IF(D212=E212,"No Conflict (Correct)","No Conflict (Incorrect)"),IF(D212=E212,"Guideline-compliant",IF(D212=F212,"Knowledge-override","Neither"))))</f>
        <v>No Conflict (Correct)</v>
      </c>
    </row>
    <row r="213" spans="1:8" x14ac:dyDescent="0.2">
      <c r="A213" s="2" t="s">
        <v>8</v>
      </c>
      <c r="B213" s="2" t="s">
        <v>9</v>
      </c>
      <c r="C213" s="2">
        <v>3</v>
      </c>
      <c r="D213" s="2" t="s">
        <v>10</v>
      </c>
      <c r="E213" s="2" t="s">
        <v>10</v>
      </c>
      <c r="F213" s="2" t="s">
        <v>10</v>
      </c>
      <c r="G213" t="b">
        <f t="shared" si="4"/>
        <v>0</v>
      </c>
      <c r="H213" t="str">
        <f>IF(D213="PARSE_ERROR","Parse Error",IF(NOT(G213),IF(D213=E213,"No Conflict (Correct)","No Conflict (Incorrect)"),IF(D213=E213,"Guideline-compliant",IF(D213=F213,"Knowledge-override","Neither"))))</f>
        <v>No Conflict (Correct)</v>
      </c>
    </row>
    <row r="214" spans="1:8" x14ac:dyDescent="0.2">
      <c r="A214" s="2" t="s">
        <v>8</v>
      </c>
      <c r="B214" s="2" t="s">
        <v>9</v>
      </c>
      <c r="C214" s="2">
        <v>4</v>
      </c>
      <c r="D214" s="2" t="s">
        <v>14</v>
      </c>
      <c r="E214" s="2" t="s">
        <v>14</v>
      </c>
      <c r="F214" s="2" t="s">
        <v>10</v>
      </c>
      <c r="G214" t="b">
        <f t="shared" si="4"/>
        <v>1</v>
      </c>
      <c r="H214" t="str">
        <f>IF(D214="PARSE_ERROR","Parse Error",IF(NOT(G214),IF(D214=E214,"No Conflict (Correct)","No Conflict (Incorrect)"),IF(D214=E214,"Guideline-compliant",IF(D214=F214,"Knowledge-override","Neither"))))</f>
        <v>Guideline-compliant</v>
      </c>
    </row>
    <row r="215" spans="1:8" x14ac:dyDescent="0.2">
      <c r="A215" s="2" t="s">
        <v>8</v>
      </c>
      <c r="B215" s="2" t="s">
        <v>9</v>
      </c>
      <c r="C215" s="2">
        <v>11</v>
      </c>
      <c r="D215" s="2" t="s">
        <v>10</v>
      </c>
      <c r="E215" s="2" t="s">
        <v>10</v>
      </c>
      <c r="F215" s="2" t="s">
        <v>10</v>
      </c>
      <c r="G215" t="b">
        <f t="shared" si="4"/>
        <v>0</v>
      </c>
      <c r="H215" t="str">
        <f>IF(D215="PARSE_ERROR","Parse Error",IF(NOT(G215),IF(D215=E215,"No Conflict (Correct)","No Conflict (Incorrect)"),IF(D215=E215,"Guideline-compliant",IF(D215=F215,"Knowledge-override","Neither"))))</f>
        <v>No Conflict (Correct)</v>
      </c>
    </row>
    <row r="216" spans="1:8" x14ac:dyDescent="0.2">
      <c r="A216" s="2" t="s">
        <v>8</v>
      </c>
      <c r="B216" s="2" t="s">
        <v>9</v>
      </c>
      <c r="C216" s="2">
        <v>12</v>
      </c>
      <c r="D216" s="2" t="s">
        <v>10</v>
      </c>
      <c r="E216" s="2" t="s">
        <v>10</v>
      </c>
      <c r="F216" s="2" t="s">
        <v>10</v>
      </c>
      <c r="G216" t="b">
        <f t="shared" si="4"/>
        <v>0</v>
      </c>
      <c r="H216" t="str">
        <f>IF(D216="PARSE_ERROR","Parse Error",IF(NOT(G216),IF(D216=E216,"No Conflict (Correct)","No Conflict (Incorrect)"),IF(D216=E216,"Guideline-compliant",IF(D216=F216,"Knowledge-override","Neither"))))</f>
        <v>No Conflict (Correct)</v>
      </c>
    </row>
    <row r="217" spans="1:8" x14ac:dyDescent="0.2">
      <c r="A217" s="2" t="s">
        <v>8</v>
      </c>
      <c r="B217" s="2" t="s">
        <v>9</v>
      </c>
      <c r="C217" s="2">
        <v>13</v>
      </c>
      <c r="D217" s="2" t="s">
        <v>14</v>
      </c>
      <c r="E217" s="2" t="s">
        <v>14</v>
      </c>
      <c r="F217" s="2" t="s">
        <v>10</v>
      </c>
      <c r="G217" t="b">
        <f t="shared" si="4"/>
        <v>1</v>
      </c>
      <c r="H217" t="str">
        <f>IF(D217="PARSE_ERROR","Parse Error",IF(NOT(G217),IF(D217=E217,"No Conflict (Correct)","No Conflict (Incorrect)"),IF(D217=E217,"Guideline-compliant",IF(D217=F217,"Knowledge-override","Neither"))))</f>
        <v>Guideline-compliant</v>
      </c>
    </row>
    <row r="218" spans="1:8" x14ac:dyDescent="0.2">
      <c r="A218" s="2" t="s">
        <v>8</v>
      </c>
      <c r="B218" s="2" t="s">
        <v>9</v>
      </c>
      <c r="C218" s="2">
        <v>21</v>
      </c>
      <c r="D218" s="2" t="s">
        <v>10</v>
      </c>
      <c r="E218" s="2" t="s">
        <v>10</v>
      </c>
      <c r="F218" s="2" t="s">
        <v>10</v>
      </c>
      <c r="G218" t="b">
        <f t="shared" si="4"/>
        <v>0</v>
      </c>
      <c r="H218" t="str">
        <f>IF(D218="PARSE_ERROR","Parse Error",IF(NOT(G218),IF(D218=E218,"No Conflict (Correct)","No Conflict (Incorrect)"),IF(D218=E218,"Guideline-compliant",IF(D218=F218,"Knowledge-override","Neither"))))</f>
        <v>No Conflict (Correct)</v>
      </c>
    </row>
    <row r="219" spans="1:8" x14ac:dyDescent="0.2">
      <c r="A219" s="2" t="s">
        <v>8</v>
      </c>
      <c r="B219" s="2" t="s">
        <v>9</v>
      </c>
      <c r="C219" s="2">
        <v>22</v>
      </c>
      <c r="D219" s="2" t="s">
        <v>14</v>
      </c>
      <c r="E219" s="2" t="s">
        <v>14</v>
      </c>
      <c r="F219" s="2" t="s">
        <v>10</v>
      </c>
      <c r="G219" t="b">
        <f t="shared" si="4"/>
        <v>1</v>
      </c>
      <c r="H219" t="str">
        <f>IF(D219="PARSE_ERROR","Parse Error",IF(NOT(G219),IF(D219=E219,"No Conflict (Correct)","No Conflict (Incorrect)"),IF(D219=E219,"Guideline-compliant",IF(D219=F219,"Knowledge-override","Neither"))))</f>
        <v>Guideline-compliant</v>
      </c>
    </row>
    <row r="220" spans="1:8" x14ac:dyDescent="0.2">
      <c r="A220" s="2" t="s">
        <v>8</v>
      </c>
      <c r="B220" s="2" t="s">
        <v>9</v>
      </c>
      <c r="C220" s="2">
        <v>31</v>
      </c>
      <c r="D220" s="2" t="s">
        <v>10</v>
      </c>
      <c r="E220" s="2" t="s">
        <v>10</v>
      </c>
      <c r="F220" s="2" t="s">
        <v>10</v>
      </c>
      <c r="G220" t="b">
        <f t="shared" si="4"/>
        <v>0</v>
      </c>
      <c r="H220" t="str">
        <f>IF(D220="PARSE_ERROR","Parse Error",IF(NOT(G220),IF(D220=E220,"No Conflict (Correct)","No Conflict (Incorrect)"),IF(D220=E220,"Guideline-compliant",IF(D220=F220,"Knowledge-override","Neither"))))</f>
        <v>No Conflict (Correct)</v>
      </c>
    </row>
    <row r="221" spans="1:8" x14ac:dyDescent="0.2">
      <c r="A221" s="2" t="s">
        <v>8</v>
      </c>
      <c r="B221" s="2" t="s">
        <v>9</v>
      </c>
      <c r="C221" s="2">
        <v>32</v>
      </c>
      <c r="D221" s="2" t="s">
        <v>10</v>
      </c>
      <c r="E221" s="2" t="s">
        <v>10</v>
      </c>
      <c r="F221" s="2" t="s">
        <v>10</v>
      </c>
      <c r="G221" t="b">
        <f t="shared" si="4"/>
        <v>0</v>
      </c>
      <c r="H221" t="str">
        <f>IF(D221="PARSE_ERROR","Parse Error",IF(NOT(G221),IF(D221=E221,"No Conflict (Correct)","No Conflict (Incorrect)"),IF(D221=E221,"Guideline-compliant",IF(D221=F221,"Knowledge-override","Neither"))))</f>
        <v>No Conflict (Correct)</v>
      </c>
    </row>
    <row r="222" spans="1:8" x14ac:dyDescent="0.2">
      <c r="A222" s="2" t="s">
        <v>8</v>
      </c>
      <c r="B222" s="2" t="s">
        <v>9</v>
      </c>
      <c r="C222" s="2">
        <v>41</v>
      </c>
      <c r="D222" s="2" t="s">
        <v>14</v>
      </c>
      <c r="E222" s="2" t="s">
        <v>14</v>
      </c>
      <c r="F222" s="2" t="s">
        <v>14</v>
      </c>
      <c r="G222" t="b">
        <f t="shared" si="4"/>
        <v>0</v>
      </c>
      <c r="H222" t="str">
        <f>IF(D222="PARSE_ERROR","Parse Error",IF(NOT(G222),IF(D222=E222,"No Conflict (Correct)","No Conflict (Incorrect)"),IF(D222=E222,"Guideline-compliant",IF(D222=F222,"Knowledge-override","Neither"))))</f>
        <v>No Conflict (Correct)</v>
      </c>
    </row>
    <row r="223" spans="1:8" x14ac:dyDescent="0.2">
      <c r="A223" s="2" t="s">
        <v>8</v>
      </c>
      <c r="B223" s="2" t="s">
        <v>9</v>
      </c>
      <c r="C223" s="2">
        <v>42</v>
      </c>
      <c r="D223" s="2" t="s">
        <v>14</v>
      </c>
      <c r="E223" s="2" t="s">
        <v>14</v>
      </c>
      <c r="F223" s="2" t="s">
        <v>14</v>
      </c>
      <c r="G223" t="b">
        <f t="shared" si="4"/>
        <v>0</v>
      </c>
      <c r="H223" t="str">
        <f>IF(D223="PARSE_ERROR","Parse Error",IF(NOT(G223),IF(D223=E223,"No Conflict (Correct)","No Conflict (Incorrect)"),IF(D223=E223,"Guideline-compliant",IF(D223=F223,"Knowledge-override","Neither"))))</f>
        <v>No Conflict (Correct)</v>
      </c>
    </row>
    <row r="224" spans="1:8" x14ac:dyDescent="0.2">
      <c r="A224" s="2" t="s">
        <v>8</v>
      </c>
      <c r="B224" s="2" t="s">
        <v>9</v>
      </c>
      <c r="C224" s="2">
        <v>51</v>
      </c>
      <c r="D224" s="2" t="s">
        <v>14</v>
      </c>
      <c r="E224" s="2" t="s">
        <v>14</v>
      </c>
      <c r="F224" s="2" t="s">
        <v>14</v>
      </c>
      <c r="G224" t="b">
        <f t="shared" si="4"/>
        <v>0</v>
      </c>
      <c r="H224" t="str">
        <f>IF(D224="PARSE_ERROR","Parse Error",IF(NOT(G224),IF(D224=E224,"No Conflict (Correct)","No Conflict (Incorrect)"),IF(D224=E224,"Guideline-compliant",IF(D224=F224,"Knowledge-override","Neither"))))</f>
        <v>No Conflict (Correct)</v>
      </c>
    </row>
    <row r="225" spans="1:8" x14ac:dyDescent="0.2">
      <c r="A225" s="2" t="s">
        <v>8</v>
      </c>
      <c r="B225" s="2" t="s">
        <v>9</v>
      </c>
      <c r="C225" s="2">
        <v>52</v>
      </c>
      <c r="D225" s="2" t="s">
        <v>14</v>
      </c>
      <c r="E225" s="2" t="s">
        <v>14</v>
      </c>
      <c r="F225" s="2" t="s">
        <v>14</v>
      </c>
      <c r="G225" t="b">
        <f t="shared" si="4"/>
        <v>0</v>
      </c>
      <c r="H225" t="str">
        <f>IF(D225="PARSE_ERROR","Parse Error",IF(NOT(G225),IF(D225=E225,"No Conflict (Correct)","No Conflict (Incorrect)"),IF(D225=E225,"Guideline-compliant",IF(D225=F225,"Knowledge-override","Neither"))))</f>
        <v>No Conflict (Correct)</v>
      </c>
    </row>
    <row r="226" spans="1:8" x14ac:dyDescent="0.2">
      <c r="A226" s="2" t="s">
        <v>27</v>
      </c>
      <c r="B226" s="2" t="s">
        <v>9</v>
      </c>
      <c r="C226" s="2">
        <v>1</v>
      </c>
      <c r="D226" s="2" t="s">
        <v>10</v>
      </c>
      <c r="E226" s="2" t="s">
        <v>10</v>
      </c>
      <c r="F226" s="2" t="s">
        <v>10</v>
      </c>
      <c r="G226" t="b">
        <f t="shared" si="4"/>
        <v>0</v>
      </c>
      <c r="H226" t="str">
        <f>IF(D226="PARSE_ERROR","Parse Error",IF(NOT(G226),IF(D226=E226,"No Conflict (Correct)","No Conflict (Incorrect)"),IF(D226=E226,"Guideline-compliant",IF(D226=F226,"Knowledge-override","Neither"))))</f>
        <v>No Conflict (Correct)</v>
      </c>
    </row>
    <row r="227" spans="1:8" x14ac:dyDescent="0.2">
      <c r="A227" s="2" t="s">
        <v>27</v>
      </c>
      <c r="B227" s="2" t="s">
        <v>9</v>
      </c>
      <c r="C227" s="2">
        <v>2</v>
      </c>
      <c r="D227" s="2" t="s">
        <v>28</v>
      </c>
      <c r="E227" s="2" t="s">
        <v>10</v>
      </c>
      <c r="F227" s="2" t="s">
        <v>10</v>
      </c>
      <c r="G227" t="b">
        <f t="shared" si="4"/>
        <v>0</v>
      </c>
      <c r="H227" t="str">
        <f>IF(D227="PARSE_ERROR","Parse Error",IF(NOT(G227),IF(D227=E227,"No Conflict (Correct)","No Conflict (Incorrect)"),IF(D227=E227,"Guideline-compliant",IF(D227=F227,"Knowledge-override","Neither"))))</f>
        <v>Parse Error</v>
      </c>
    </row>
    <row r="228" spans="1:8" x14ac:dyDescent="0.2">
      <c r="A228" s="2" t="s">
        <v>27</v>
      </c>
      <c r="B228" s="2" t="s">
        <v>9</v>
      </c>
      <c r="C228" s="2">
        <v>3</v>
      </c>
      <c r="D228" s="2" t="s">
        <v>28</v>
      </c>
      <c r="E228" s="2" t="s">
        <v>10</v>
      </c>
      <c r="F228" s="2" t="s">
        <v>10</v>
      </c>
      <c r="G228" t="b">
        <f t="shared" si="4"/>
        <v>0</v>
      </c>
      <c r="H228" t="str">
        <f>IF(D228="PARSE_ERROR","Parse Error",IF(NOT(G228),IF(D228=E228,"No Conflict (Correct)","No Conflict (Incorrect)"),IF(D228=E228,"Guideline-compliant",IF(D228=F228,"Knowledge-override","Neither"))))</f>
        <v>Parse Error</v>
      </c>
    </row>
    <row r="229" spans="1:8" x14ac:dyDescent="0.2">
      <c r="A229" s="2" t="s">
        <v>27</v>
      </c>
      <c r="B229" s="2" t="s">
        <v>9</v>
      </c>
      <c r="C229" s="2">
        <v>4</v>
      </c>
      <c r="D229" s="2" t="s">
        <v>28</v>
      </c>
      <c r="E229" s="2" t="s">
        <v>14</v>
      </c>
      <c r="F229" s="2" t="s">
        <v>10</v>
      </c>
      <c r="G229" t="b">
        <f t="shared" si="4"/>
        <v>1</v>
      </c>
      <c r="H229" t="str">
        <f>IF(D229="PARSE_ERROR","Parse Error",IF(NOT(G229),IF(D229=E229,"No Conflict (Correct)","No Conflict (Incorrect)"),IF(D229=E229,"Guideline-compliant",IF(D229=F229,"Knowledge-override","Neither"))))</f>
        <v>Parse Error</v>
      </c>
    </row>
    <row r="230" spans="1:8" x14ac:dyDescent="0.2">
      <c r="A230" s="2" t="s">
        <v>27</v>
      </c>
      <c r="B230" s="2" t="s">
        <v>9</v>
      </c>
      <c r="C230" s="2">
        <v>11</v>
      </c>
      <c r="D230" s="2" t="s">
        <v>28</v>
      </c>
      <c r="E230" s="2" t="s">
        <v>10</v>
      </c>
      <c r="F230" s="2" t="s">
        <v>10</v>
      </c>
      <c r="G230" t="b">
        <f t="shared" si="4"/>
        <v>0</v>
      </c>
      <c r="H230" t="str">
        <f>IF(D230="PARSE_ERROR","Parse Error",IF(NOT(G230),IF(D230=E230,"No Conflict (Correct)","No Conflict (Incorrect)"),IF(D230=E230,"Guideline-compliant",IF(D230=F230,"Knowledge-override","Neither"))))</f>
        <v>Parse Error</v>
      </c>
    </row>
    <row r="231" spans="1:8" x14ac:dyDescent="0.2">
      <c r="A231" s="2" t="s">
        <v>27</v>
      </c>
      <c r="B231" s="2" t="s">
        <v>9</v>
      </c>
      <c r="C231" s="2">
        <v>12</v>
      </c>
      <c r="D231" s="2" t="s">
        <v>28</v>
      </c>
      <c r="E231" s="2" t="s">
        <v>10</v>
      </c>
      <c r="F231" s="2" t="s">
        <v>10</v>
      </c>
      <c r="G231" t="b">
        <f t="shared" si="4"/>
        <v>0</v>
      </c>
      <c r="H231" t="str">
        <f>IF(D231="PARSE_ERROR","Parse Error",IF(NOT(G231),IF(D231=E231,"No Conflict (Correct)","No Conflict (Incorrect)"),IF(D231=E231,"Guideline-compliant",IF(D231=F231,"Knowledge-override","Neither"))))</f>
        <v>Parse Error</v>
      </c>
    </row>
    <row r="232" spans="1:8" x14ac:dyDescent="0.2">
      <c r="A232" s="2" t="s">
        <v>27</v>
      </c>
      <c r="B232" s="2" t="s">
        <v>9</v>
      </c>
      <c r="C232" s="2">
        <v>13</v>
      </c>
      <c r="D232" s="2" t="s">
        <v>28</v>
      </c>
      <c r="E232" s="2" t="s">
        <v>14</v>
      </c>
      <c r="F232" s="2" t="s">
        <v>10</v>
      </c>
      <c r="G232" t="b">
        <f t="shared" si="4"/>
        <v>1</v>
      </c>
      <c r="H232" t="str">
        <f>IF(D232="PARSE_ERROR","Parse Error",IF(NOT(G232),IF(D232=E232,"No Conflict (Correct)","No Conflict (Incorrect)"),IF(D232=E232,"Guideline-compliant",IF(D232=F232,"Knowledge-override","Neither"))))</f>
        <v>Parse Error</v>
      </c>
    </row>
    <row r="233" spans="1:8" x14ac:dyDescent="0.2">
      <c r="A233" s="2" t="s">
        <v>27</v>
      </c>
      <c r="B233" s="2" t="s">
        <v>9</v>
      </c>
      <c r="C233" s="2">
        <v>21</v>
      </c>
      <c r="D233" s="2" t="s">
        <v>10</v>
      </c>
      <c r="E233" s="2" t="s">
        <v>10</v>
      </c>
      <c r="F233" s="2" t="s">
        <v>10</v>
      </c>
      <c r="G233" t="b">
        <f t="shared" si="4"/>
        <v>0</v>
      </c>
      <c r="H233" t="str">
        <f>IF(D233="PARSE_ERROR","Parse Error",IF(NOT(G233),IF(D233=E233,"No Conflict (Correct)","No Conflict (Incorrect)"),IF(D233=E233,"Guideline-compliant",IF(D233=F233,"Knowledge-override","Neither"))))</f>
        <v>No Conflict (Correct)</v>
      </c>
    </row>
    <row r="234" spans="1:8" x14ac:dyDescent="0.2">
      <c r="A234" s="2" t="s">
        <v>27</v>
      </c>
      <c r="B234" s="2" t="s">
        <v>9</v>
      </c>
      <c r="C234" s="2">
        <v>22</v>
      </c>
      <c r="D234" s="2" t="s">
        <v>28</v>
      </c>
      <c r="E234" s="2" t="s">
        <v>14</v>
      </c>
      <c r="F234" s="2" t="s">
        <v>10</v>
      </c>
      <c r="G234" t="b">
        <f t="shared" si="4"/>
        <v>1</v>
      </c>
      <c r="H234" t="str">
        <f>IF(D234="PARSE_ERROR","Parse Error",IF(NOT(G234),IF(D234=E234,"No Conflict (Correct)","No Conflict (Incorrect)"),IF(D234=E234,"Guideline-compliant",IF(D234=F234,"Knowledge-override","Neither"))))</f>
        <v>Parse Error</v>
      </c>
    </row>
    <row r="235" spans="1:8" x14ac:dyDescent="0.2">
      <c r="A235" s="2" t="s">
        <v>27</v>
      </c>
      <c r="B235" s="2" t="s">
        <v>9</v>
      </c>
      <c r="C235" s="2">
        <v>31</v>
      </c>
      <c r="D235" s="2" t="s">
        <v>28</v>
      </c>
      <c r="E235" s="2" t="s">
        <v>10</v>
      </c>
      <c r="F235" s="2" t="s">
        <v>10</v>
      </c>
      <c r="G235" t="b">
        <f t="shared" si="4"/>
        <v>0</v>
      </c>
      <c r="H235" t="str">
        <f>IF(D235="PARSE_ERROR","Parse Error",IF(NOT(G235),IF(D235=E235,"No Conflict (Correct)","No Conflict (Incorrect)"),IF(D235=E235,"Guideline-compliant",IF(D235=F235,"Knowledge-override","Neither"))))</f>
        <v>Parse Error</v>
      </c>
    </row>
    <row r="236" spans="1:8" x14ac:dyDescent="0.2">
      <c r="A236" s="2" t="s">
        <v>27</v>
      </c>
      <c r="B236" s="2" t="s">
        <v>9</v>
      </c>
      <c r="C236" s="2">
        <v>32</v>
      </c>
      <c r="D236" s="2" t="s">
        <v>28</v>
      </c>
      <c r="E236" s="2" t="s">
        <v>10</v>
      </c>
      <c r="F236" s="2" t="s">
        <v>10</v>
      </c>
      <c r="G236" t="b">
        <f t="shared" si="4"/>
        <v>0</v>
      </c>
      <c r="H236" t="str">
        <f>IF(D236="PARSE_ERROR","Parse Error",IF(NOT(G236),IF(D236=E236,"No Conflict (Correct)","No Conflict (Incorrect)"),IF(D236=E236,"Guideline-compliant",IF(D236=F236,"Knowledge-override","Neither"))))</f>
        <v>Parse Error</v>
      </c>
    </row>
    <row r="237" spans="1:8" x14ac:dyDescent="0.2">
      <c r="A237" s="2" t="s">
        <v>27</v>
      </c>
      <c r="B237" s="2" t="s">
        <v>9</v>
      </c>
      <c r="C237" s="2">
        <v>41</v>
      </c>
      <c r="D237" s="2" t="s">
        <v>28</v>
      </c>
      <c r="E237" s="2" t="s">
        <v>14</v>
      </c>
      <c r="F237" s="2" t="s">
        <v>14</v>
      </c>
      <c r="G237" t="b">
        <f t="shared" si="4"/>
        <v>0</v>
      </c>
      <c r="H237" t="str">
        <f>IF(D237="PARSE_ERROR","Parse Error",IF(NOT(G237),IF(D237=E237,"No Conflict (Correct)","No Conflict (Incorrect)"),IF(D237=E237,"Guideline-compliant",IF(D237=F237,"Knowledge-override","Neither"))))</f>
        <v>Parse Error</v>
      </c>
    </row>
    <row r="238" spans="1:8" x14ac:dyDescent="0.2">
      <c r="A238" s="2" t="s">
        <v>27</v>
      </c>
      <c r="B238" s="2" t="s">
        <v>9</v>
      </c>
      <c r="C238" s="2">
        <v>42</v>
      </c>
      <c r="D238" s="2" t="s">
        <v>28</v>
      </c>
      <c r="E238" s="2" t="s">
        <v>14</v>
      </c>
      <c r="F238" s="2" t="s">
        <v>14</v>
      </c>
      <c r="G238" t="b">
        <f t="shared" si="4"/>
        <v>0</v>
      </c>
      <c r="H238" t="str">
        <f>IF(D238="PARSE_ERROR","Parse Error",IF(NOT(G238),IF(D238=E238,"No Conflict (Correct)","No Conflict (Incorrect)"),IF(D238=E238,"Guideline-compliant",IF(D238=F238,"Knowledge-override","Neither"))))</f>
        <v>Parse Error</v>
      </c>
    </row>
    <row r="239" spans="1:8" x14ac:dyDescent="0.2">
      <c r="A239" s="2" t="s">
        <v>27</v>
      </c>
      <c r="B239" s="2" t="s">
        <v>9</v>
      </c>
      <c r="C239" s="2">
        <v>51</v>
      </c>
      <c r="D239" s="2" t="s">
        <v>28</v>
      </c>
      <c r="E239" s="2" t="s">
        <v>14</v>
      </c>
      <c r="F239" s="2" t="s">
        <v>14</v>
      </c>
      <c r="G239" t="b">
        <f t="shared" si="4"/>
        <v>0</v>
      </c>
      <c r="H239" t="str">
        <f>IF(D239="PARSE_ERROR","Parse Error",IF(NOT(G239),IF(D239=E239,"No Conflict (Correct)","No Conflict (Incorrect)"),IF(D239=E239,"Guideline-compliant",IF(D239=F239,"Knowledge-override","Neither"))))</f>
        <v>Parse Error</v>
      </c>
    </row>
    <row r="240" spans="1:8" x14ac:dyDescent="0.2">
      <c r="A240" s="2" t="s">
        <v>27</v>
      </c>
      <c r="B240" s="2" t="s">
        <v>9</v>
      </c>
      <c r="C240" s="2">
        <v>52</v>
      </c>
      <c r="D240" s="2" t="s">
        <v>14</v>
      </c>
      <c r="E240" s="2" t="s">
        <v>14</v>
      </c>
      <c r="F240" s="2" t="s">
        <v>14</v>
      </c>
      <c r="G240" t="b">
        <f t="shared" si="4"/>
        <v>0</v>
      </c>
      <c r="H240" t="str">
        <f>IF(D240="PARSE_ERROR","Parse Error",IF(NOT(G240),IF(D240=E240,"No Conflict (Correct)","No Conflict (Incorrect)"),IF(D240=E240,"Guideline-compliant",IF(D240=F240,"Knowledge-override","Neither"))))</f>
        <v>No Conflict (Correct)</v>
      </c>
    </row>
    <row r="241" spans="1:8" x14ac:dyDescent="0.2">
      <c r="A241" s="2" t="s">
        <v>29</v>
      </c>
      <c r="B241" s="2" t="s">
        <v>9</v>
      </c>
      <c r="C241" s="2">
        <v>1</v>
      </c>
      <c r="D241" s="2" t="s">
        <v>10</v>
      </c>
      <c r="E241" s="2" t="s">
        <v>10</v>
      </c>
      <c r="F241" s="2" t="s">
        <v>10</v>
      </c>
      <c r="G241" t="b">
        <f t="shared" si="4"/>
        <v>0</v>
      </c>
      <c r="H241" t="str">
        <f>IF(D241="PARSE_ERROR","Parse Error",IF(NOT(G241),IF(D241=E241,"No Conflict (Correct)","No Conflict (Incorrect)"),IF(D241=E241,"Guideline-compliant",IF(D241=F241,"Knowledge-override","Neither"))))</f>
        <v>No Conflict (Correct)</v>
      </c>
    </row>
    <row r="242" spans="1:8" x14ac:dyDescent="0.2">
      <c r="A242" s="2" t="s">
        <v>29</v>
      </c>
      <c r="B242" s="2" t="s">
        <v>9</v>
      </c>
      <c r="C242" s="2">
        <v>2</v>
      </c>
      <c r="D242" s="2" t="s">
        <v>10</v>
      </c>
      <c r="E242" s="2" t="s">
        <v>10</v>
      </c>
      <c r="F242" s="2" t="s">
        <v>10</v>
      </c>
      <c r="G242" t="b">
        <f>IF(F242="N/A",FALSE,E242&lt;&gt;F242)</f>
        <v>0</v>
      </c>
      <c r="H242" t="str">
        <f>IF(D242="PARSE_ERROR","Parse Error",IF(NOT(G242),IF(D242=E242,"No Conflict (Correct)","No Conflict (Incorrect)"),IF(D242=E242,"Guideline-compliant",IF(D242=F242,"Knowledge-override","Neither"))))</f>
        <v>No Conflict (Correct)</v>
      </c>
    </row>
    <row r="243" spans="1:8" x14ac:dyDescent="0.2">
      <c r="A243" s="2" t="s">
        <v>29</v>
      </c>
      <c r="B243" s="2" t="s">
        <v>9</v>
      </c>
      <c r="C243" s="2">
        <v>3</v>
      </c>
      <c r="D243" s="2" t="s">
        <v>10</v>
      </c>
      <c r="E243" s="2" t="s">
        <v>10</v>
      </c>
      <c r="F243" s="2" t="s">
        <v>10</v>
      </c>
      <c r="G243" t="b">
        <f t="shared" si="4"/>
        <v>0</v>
      </c>
      <c r="H243" t="str">
        <f>IF(D243="PARSE_ERROR","Parse Error",IF(NOT(G243),IF(D243=E243,"No Conflict (Correct)","No Conflict (Incorrect)"),IF(D243=E243,"Guideline-compliant",IF(D243=F243,"Knowledge-override","Neither"))))</f>
        <v>No Conflict (Correct)</v>
      </c>
    </row>
    <row r="244" spans="1:8" x14ac:dyDescent="0.2">
      <c r="A244" s="2" t="s">
        <v>29</v>
      </c>
      <c r="B244" s="2" t="s">
        <v>9</v>
      </c>
      <c r="C244" s="2">
        <v>4</v>
      </c>
      <c r="D244" s="2" t="s">
        <v>14</v>
      </c>
      <c r="E244" s="2" t="s">
        <v>14</v>
      </c>
      <c r="F244" s="2" t="s">
        <v>10</v>
      </c>
      <c r="G244" t="b">
        <f t="shared" si="4"/>
        <v>1</v>
      </c>
      <c r="H244" t="str">
        <f>IF(D244="PARSE_ERROR","Parse Error",IF(NOT(G244),IF(D244=E244,"No Conflict (Correct)","No Conflict (Incorrect)"),IF(D244=E244,"Guideline-compliant",IF(D244=F244,"Knowledge-override","Neither"))))</f>
        <v>Guideline-compliant</v>
      </c>
    </row>
    <row r="245" spans="1:8" x14ac:dyDescent="0.2">
      <c r="A245" s="2" t="s">
        <v>29</v>
      </c>
      <c r="B245" s="2" t="s">
        <v>9</v>
      </c>
      <c r="C245" s="2">
        <v>11</v>
      </c>
      <c r="D245" s="2" t="s">
        <v>10</v>
      </c>
      <c r="E245" s="2" t="s">
        <v>10</v>
      </c>
      <c r="F245" s="2" t="s">
        <v>10</v>
      </c>
      <c r="G245" t="b">
        <f t="shared" si="4"/>
        <v>0</v>
      </c>
      <c r="H245" t="str">
        <f>IF(D245="PARSE_ERROR","Parse Error",IF(NOT(G245),IF(D245=E245,"No Conflict (Correct)","No Conflict (Incorrect)"),IF(D245=E245,"Guideline-compliant",IF(D245=F245,"Knowledge-override","Neither"))))</f>
        <v>No Conflict (Correct)</v>
      </c>
    </row>
    <row r="246" spans="1:8" x14ac:dyDescent="0.2">
      <c r="A246" s="2" t="s">
        <v>29</v>
      </c>
      <c r="B246" s="2" t="s">
        <v>9</v>
      </c>
      <c r="C246" s="2">
        <v>12</v>
      </c>
      <c r="D246" s="2" t="s">
        <v>10</v>
      </c>
      <c r="E246" s="2" t="s">
        <v>10</v>
      </c>
      <c r="F246" s="2" t="s">
        <v>10</v>
      </c>
      <c r="G246" t="b">
        <f t="shared" si="4"/>
        <v>0</v>
      </c>
      <c r="H246" t="str">
        <f>IF(D246="PARSE_ERROR","Parse Error",IF(NOT(G246),IF(D246=E246,"No Conflict (Correct)","No Conflict (Incorrect)"),IF(D246=E246,"Guideline-compliant",IF(D246=F246,"Knowledge-override","Neither"))))</f>
        <v>No Conflict (Correct)</v>
      </c>
    </row>
    <row r="247" spans="1:8" x14ac:dyDescent="0.2">
      <c r="A247" s="2" t="s">
        <v>29</v>
      </c>
      <c r="B247" s="2" t="s">
        <v>9</v>
      </c>
      <c r="C247" s="2">
        <v>13</v>
      </c>
      <c r="D247" s="2" t="s">
        <v>14</v>
      </c>
      <c r="E247" s="2" t="s">
        <v>14</v>
      </c>
      <c r="F247" s="2" t="s">
        <v>10</v>
      </c>
      <c r="G247" t="b">
        <f t="shared" si="4"/>
        <v>1</v>
      </c>
      <c r="H247" t="str">
        <f>IF(D247="PARSE_ERROR","Parse Error",IF(NOT(G247),IF(D247=E247,"No Conflict (Correct)","No Conflict (Incorrect)"),IF(D247=E247,"Guideline-compliant",IF(D247=F247,"Knowledge-override","Neither"))))</f>
        <v>Guideline-compliant</v>
      </c>
    </row>
    <row r="248" spans="1:8" x14ac:dyDescent="0.2">
      <c r="A248" s="2" t="s">
        <v>29</v>
      </c>
      <c r="B248" s="2" t="s">
        <v>9</v>
      </c>
      <c r="C248" s="2">
        <v>21</v>
      </c>
      <c r="D248" s="2" t="s">
        <v>10</v>
      </c>
      <c r="E248" s="2" t="s">
        <v>10</v>
      </c>
      <c r="F248" s="2" t="s">
        <v>10</v>
      </c>
      <c r="G248" t="b">
        <f t="shared" si="4"/>
        <v>0</v>
      </c>
      <c r="H248" t="str">
        <f>IF(D248="PARSE_ERROR","Parse Error",IF(NOT(G248),IF(D248=E248,"No Conflict (Correct)","No Conflict (Incorrect)"),IF(D248=E248,"Guideline-compliant",IF(D248=F248,"Knowledge-override","Neither"))))</f>
        <v>No Conflict (Correct)</v>
      </c>
    </row>
    <row r="249" spans="1:8" x14ac:dyDescent="0.2">
      <c r="A249" s="2" t="s">
        <v>29</v>
      </c>
      <c r="B249" s="2" t="s">
        <v>9</v>
      </c>
      <c r="C249" s="2">
        <v>22</v>
      </c>
      <c r="D249" s="2" t="s">
        <v>14</v>
      </c>
      <c r="E249" s="2" t="s">
        <v>14</v>
      </c>
      <c r="F249" s="2" t="s">
        <v>10</v>
      </c>
      <c r="G249" t="b">
        <f t="shared" si="4"/>
        <v>1</v>
      </c>
      <c r="H249" t="str">
        <f>IF(D249="PARSE_ERROR","Parse Error",IF(NOT(G249),IF(D249=E249,"No Conflict (Correct)","No Conflict (Incorrect)"),IF(D249=E249,"Guideline-compliant",IF(D249=F249,"Knowledge-override","Neither"))))</f>
        <v>Guideline-compliant</v>
      </c>
    </row>
    <row r="250" spans="1:8" x14ac:dyDescent="0.2">
      <c r="A250" s="2" t="s">
        <v>29</v>
      </c>
      <c r="B250" s="2" t="s">
        <v>9</v>
      </c>
      <c r="C250" s="2">
        <v>31</v>
      </c>
      <c r="D250" s="2" t="s">
        <v>10</v>
      </c>
      <c r="E250" s="2" t="s">
        <v>10</v>
      </c>
      <c r="F250" s="2" t="s">
        <v>10</v>
      </c>
      <c r="G250" t="b">
        <f t="shared" si="4"/>
        <v>0</v>
      </c>
      <c r="H250" t="str">
        <f>IF(D250="PARSE_ERROR","Parse Error",IF(NOT(G250),IF(D250=E250,"No Conflict (Correct)","No Conflict (Incorrect)"),IF(D250=E250,"Guideline-compliant",IF(D250=F250,"Knowledge-override","Neither"))))</f>
        <v>No Conflict (Correct)</v>
      </c>
    </row>
    <row r="251" spans="1:8" x14ac:dyDescent="0.2">
      <c r="A251" s="2" t="s">
        <v>29</v>
      </c>
      <c r="B251" s="2" t="s">
        <v>9</v>
      </c>
      <c r="C251" s="2">
        <v>32</v>
      </c>
      <c r="D251" s="2" t="s">
        <v>10</v>
      </c>
      <c r="E251" s="2" t="s">
        <v>10</v>
      </c>
      <c r="F251" s="2" t="s">
        <v>10</v>
      </c>
      <c r="G251" t="b">
        <f t="shared" si="4"/>
        <v>0</v>
      </c>
      <c r="H251" t="str">
        <f>IF(D251="PARSE_ERROR","Parse Error",IF(NOT(G251),IF(D251=E251,"No Conflict (Correct)","No Conflict (Incorrect)"),IF(D251=E251,"Guideline-compliant",IF(D251=F251,"Knowledge-override","Neither"))))</f>
        <v>No Conflict (Correct)</v>
      </c>
    </row>
    <row r="252" spans="1:8" x14ac:dyDescent="0.2">
      <c r="A252" s="2" t="s">
        <v>29</v>
      </c>
      <c r="B252" s="2" t="s">
        <v>9</v>
      </c>
      <c r="C252" s="2">
        <v>41</v>
      </c>
      <c r="D252" s="2" t="s">
        <v>14</v>
      </c>
      <c r="E252" s="2" t="s">
        <v>14</v>
      </c>
      <c r="F252" s="2" t="s">
        <v>14</v>
      </c>
      <c r="G252" t="b">
        <f t="shared" si="4"/>
        <v>0</v>
      </c>
      <c r="H252" t="str">
        <f>IF(D252="PARSE_ERROR","Parse Error",IF(NOT(G252),IF(D252=E252,"No Conflict (Correct)","No Conflict (Incorrect)"),IF(D252=E252,"Guideline-compliant",IF(D252=F252,"Knowledge-override","Neither"))))</f>
        <v>No Conflict (Correct)</v>
      </c>
    </row>
    <row r="253" spans="1:8" x14ac:dyDescent="0.2">
      <c r="A253" s="2" t="s">
        <v>29</v>
      </c>
      <c r="B253" s="2" t="s">
        <v>9</v>
      </c>
      <c r="C253" s="2">
        <v>42</v>
      </c>
      <c r="D253" s="2" t="s">
        <v>14</v>
      </c>
      <c r="E253" s="2" t="s">
        <v>14</v>
      </c>
      <c r="F253" s="2" t="s">
        <v>14</v>
      </c>
      <c r="G253" t="b">
        <f t="shared" si="4"/>
        <v>0</v>
      </c>
      <c r="H253" t="str">
        <f>IF(D253="PARSE_ERROR","Parse Error",IF(NOT(G253),IF(D253=E253,"No Conflict (Correct)","No Conflict (Incorrect)"),IF(D253=E253,"Guideline-compliant",IF(D253=F253,"Knowledge-override","Neither"))))</f>
        <v>No Conflict (Correct)</v>
      </c>
    </row>
    <row r="254" spans="1:8" x14ac:dyDescent="0.2">
      <c r="A254" s="2" t="s">
        <v>29</v>
      </c>
      <c r="B254" s="2" t="s">
        <v>9</v>
      </c>
      <c r="C254" s="2">
        <v>51</v>
      </c>
      <c r="D254" s="2" t="s">
        <v>14</v>
      </c>
      <c r="E254" s="2" t="s">
        <v>14</v>
      </c>
      <c r="F254" s="2" t="s">
        <v>14</v>
      </c>
      <c r="G254" t="b">
        <f t="shared" si="4"/>
        <v>0</v>
      </c>
      <c r="H254" t="str">
        <f>IF(D254="PARSE_ERROR","Parse Error",IF(NOT(G254),IF(D254=E254,"No Conflict (Correct)","No Conflict (Incorrect)"),IF(D254=E254,"Guideline-compliant",IF(D254=F254,"Knowledge-override","Neither"))))</f>
        <v>No Conflict (Correct)</v>
      </c>
    </row>
    <row r="255" spans="1:8" x14ac:dyDescent="0.2">
      <c r="A255" s="2" t="s">
        <v>29</v>
      </c>
      <c r="B255" s="2" t="s">
        <v>9</v>
      </c>
      <c r="C255" s="2">
        <v>52</v>
      </c>
      <c r="D255" s="2" t="s">
        <v>14</v>
      </c>
      <c r="E255" s="2" t="s">
        <v>14</v>
      </c>
      <c r="F255" s="2" t="s">
        <v>14</v>
      </c>
      <c r="G255" t="b">
        <f t="shared" si="4"/>
        <v>0</v>
      </c>
      <c r="H255" t="str">
        <f>IF(D255="PARSE_ERROR","Parse Error",IF(NOT(G255),IF(D255=E255,"No Conflict (Correct)","No Conflict (Incorrect)"),IF(D255=E255,"Guideline-compliant",IF(D255=F255,"Knowledge-override","Neither"))))</f>
        <v>No Conflict (Correct)</v>
      </c>
    </row>
    <row r="256" spans="1:8" x14ac:dyDescent="0.2">
      <c r="A256" s="2" t="s">
        <v>30</v>
      </c>
      <c r="B256" s="2" t="s">
        <v>9</v>
      </c>
      <c r="C256" s="2">
        <v>1</v>
      </c>
      <c r="D256" s="2" t="s">
        <v>28</v>
      </c>
      <c r="E256" s="2" t="s">
        <v>10</v>
      </c>
      <c r="F256" s="2" t="s">
        <v>10</v>
      </c>
      <c r="G256" t="b">
        <f t="shared" si="4"/>
        <v>0</v>
      </c>
      <c r="H256" t="str">
        <f>IF(D256="PARSE_ERROR","Parse Error",IF(NOT(G256),IF(D256=E256,"No Conflict (Correct)","No Conflict (Incorrect)"),IF(D256=E256,"Guideline-compliant",IF(D256=F256,"Knowledge-override","Neither"))))</f>
        <v>Parse Error</v>
      </c>
    </row>
    <row r="257" spans="1:8" x14ac:dyDescent="0.2">
      <c r="A257" s="2" t="s">
        <v>30</v>
      </c>
      <c r="B257" s="2" t="s">
        <v>9</v>
      </c>
      <c r="C257" s="2">
        <v>2</v>
      </c>
      <c r="D257" s="2" t="s">
        <v>28</v>
      </c>
      <c r="E257" s="2" t="s">
        <v>10</v>
      </c>
      <c r="F257" s="2" t="s">
        <v>10</v>
      </c>
      <c r="G257" t="b">
        <f t="shared" si="4"/>
        <v>0</v>
      </c>
      <c r="H257" t="str">
        <f>IF(D257="PARSE_ERROR","Parse Error",IF(NOT(G257),IF(D257=E257,"No Conflict (Correct)","No Conflict (Incorrect)"),IF(D257=E257,"Guideline-compliant",IF(D257=F257,"Knowledge-override","Neither"))))</f>
        <v>Parse Error</v>
      </c>
    </row>
    <row r="258" spans="1:8" x14ac:dyDescent="0.2">
      <c r="A258" s="2" t="s">
        <v>30</v>
      </c>
      <c r="B258" s="2" t="s">
        <v>9</v>
      </c>
      <c r="C258" s="2">
        <v>3</v>
      </c>
      <c r="D258" s="2" t="s">
        <v>28</v>
      </c>
      <c r="E258" s="2" t="s">
        <v>10</v>
      </c>
      <c r="F258" s="2" t="s">
        <v>10</v>
      </c>
      <c r="G258" t="b">
        <f t="shared" si="4"/>
        <v>0</v>
      </c>
      <c r="H258" t="str">
        <f>IF(D258="PARSE_ERROR","Parse Error",IF(NOT(G258),IF(D258=E258,"No Conflict (Correct)","No Conflict (Incorrect)"),IF(D258=E258,"Guideline-compliant",IF(D258=F258,"Knowledge-override","Neither"))))</f>
        <v>Parse Error</v>
      </c>
    </row>
    <row r="259" spans="1:8" x14ac:dyDescent="0.2">
      <c r="A259" s="2" t="s">
        <v>30</v>
      </c>
      <c r="B259" s="2" t="s">
        <v>9</v>
      </c>
      <c r="C259" s="2">
        <v>4</v>
      </c>
      <c r="D259" s="2" t="s">
        <v>28</v>
      </c>
      <c r="E259" s="2" t="s">
        <v>14</v>
      </c>
      <c r="F259" s="2" t="s">
        <v>10</v>
      </c>
      <c r="G259" t="b">
        <f t="shared" si="4"/>
        <v>1</v>
      </c>
      <c r="H259" t="str">
        <f>IF(D259="PARSE_ERROR","Parse Error",IF(NOT(G259),IF(D259=E259,"No Conflict (Correct)","No Conflict (Incorrect)"),IF(D259=E259,"Guideline-compliant",IF(D259=F259,"Knowledge-override","Neither"))))</f>
        <v>Parse Error</v>
      </c>
    </row>
    <row r="260" spans="1:8" x14ac:dyDescent="0.2">
      <c r="A260" s="2" t="s">
        <v>30</v>
      </c>
      <c r="B260" s="2" t="s">
        <v>9</v>
      </c>
      <c r="C260" s="2">
        <v>11</v>
      </c>
      <c r="D260" s="2" t="s">
        <v>28</v>
      </c>
      <c r="E260" s="2" t="s">
        <v>10</v>
      </c>
      <c r="F260" s="2" t="s">
        <v>10</v>
      </c>
      <c r="G260" t="b">
        <f t="shared" si="4"/>
        <v>0</v>
      </c>
      <c r="H260" t="str">
        <f>IF(D260="PARSE_ERROR","Parse Error",IF(NOT(G260),IF(D260=E260,"No Conflict (Correct)","No Conflict (Incorrect)"),IF(D260=E260,"Guideline-compliant",IF(D260=F260,"Knowledge-override","Neither"))))</f>
        <v>Parse Error</v>
      </c>
    </row>
    <row r="261" spans="1:8" x14ac:dyDescent="0.2">
      <c r="A261" s="2" t="s">
        <v>30</v>
      </c>
      <c r="B261" s="2" t="s">
        <v>9</v>
      </c>
      <c r="C261" s="2">
        <v>12</v>
      </c>
      <c r="D261" s="2" t="s">
        <v>28</v>
      </c>
      <c r="E261" s="2" t="s">
        <v>10</v>
      </c>
      <c r="F261" s="2" t="s">
        <v>10</v>
      </c>
      <c r="G261" t="b">
        <f t="shared" si="4"/>
        <v>0</v>
      </c>
      <c r="H261" t="str">
        <f>IF(D261="PARSE_ERROR","Parse Error",IF(NOT(G261),IF(D261=E261,"No Conflict (Correct)","No Conflict (Incorrect)"),IF(D261=E261,"Guideline-compliant",IF(D261=F261,"Knowledge-override","Neither"))))</f>
        <v>Parse Error</v>
      </c>
    </row>
    <row r="262" spans="1:8" x14ac:dyDescent="0.2">
      <c r="A262" s="2" t="s">
        <v>30</v>
      </c>
      <c r="B262" s="2" t="s">
        <v>9</v>
      </c>
      <c r="C262" s="2">
        <v>13</v>
      </c>
      <c r="D262" s="2" t="s">
        <v>28</v>
      </c>
      <c r="E262" s="2" t="s">
        <v>14</v>
      </c>
      <c r="F262" s="2" t="s">
        <v>10</v>
      </c>
      <c r="G262" t="b">
        <f t="shared" si="4"/>
        <v>1</v>
      </c>
      <c r="H262" t="str">
        <f>IF(D262="PARSE_ERROR","Parse Error",IF(NOT(G262),IF(D262=E262,"No Conflict (Correct)","No Conflict (Incorrect)"),IF(D262=E262,"Guideline-compliant",IF(D262=F262,"Knowledge-override","Neither"))))</f>
        <v>Parse Error</v>
      </c>
    </row>
    <row r="263" spans="1:8" x14ac:dyDescent="0.2">
      <c r="A263" s="2" t="s">
        <v>30</v>
      </c>
      <c r="B263" s="2" t="s">
        <v>9</v>
      </c>
      <c r="C263" s="2">
        <v>21</v>
      </c>
      <c r="D263" s="2" t="s">
        <v>28</v>
      </c>
      <c r="E263" s="2" t="s">
        <v>10</v>
      </c>
      <c r="F263" s="2" t="s">
        <v>10</v>
      </c>
      <c r="G263" t="b">
        <f t="shared" si="4"/>
        <v>0</v>
      </c>
      <c r="H263" t="str">
        <f>IF(D263="PARSE_ERROR","Parse Error",IF(NOT(G263),IF(D263=E263,"No Conflict (Correct)","No Conflict (Incorrect)"),IF(D263=E263,"Guideline-compliant",IF(D263=F263,"Knowledge-override","Neither"))))</f>
        <v>Parse Error</v>
      </c>
    </row>
    <row r="264" spans="1:8" x14ac:dyDescent="0.2">
      <c r="A264" s="2" t="s">
        <v>30</v>
      </c>
      <c r="B264" s="2" t="s">
        <v>9</v>
      </c>
      <c r="C264" s="2">
        <v>22</v>
      </c>
      <c r="D264" s="2" t="s">
        <v>28</v>
      </c>
      <c r="E264" s="2" t="s">
        <v>14</v>
      </c>
      <c r="F264" s="2" t="s">
        <v>10</v>
      </c>
      <c r="G264" t="b">
        <f t="shared" si="4"/>
        <v>1</v>
      </c>
      <c r="H264" t="str">
        <f>IF(D264="PARSE_ERROR","Parse Error",IF(NOT(G264),IF(D264=E264,"No Conflict (Correct)","No Conflict (Incorrect)"),IF(D264=E264,"Guideline-compliant",IF(D264=F264,"Knowledge-override","Neither"))))</f>
        <v>Parse Error</v>
      </c>
    </row>
    <row r="265" spans="1:8" x14ac:dyDescent="0.2">
      <c r="A265" s="2" t="s">
        <v>30</v>
      </c>
      <c r="B265" s="2" t="s">
        <v>9</v>
      </c>
      <c r="C265" s="2">
        <v>31</v>
      </c>
      <c r="D265" s="2" t="s">
        <v>28</v>
      </c>
      <c r="E265" s="2" t="s">
        <v>10</v>
      </c>
      <c r="F265" s="2" t="s">
        <v>10</v>
      </c>
      <c r="G265" t="b">
        <f t="shared" si="4"/>
        <v>0</v>
      </c>
      <c r="H265" t="str">
        <f>IF(D265="PARSE_ERROR","Parse Error",IF(NOT(G265),IF(D265=E265,"No Conflict (Correct)","No Conflict (Incorrect)"),IF(D265=E265,"Guideline-compliant",IF(D265=F265,"Knowledge-override","Neither"))))</f>
        <v>Parse Error</v>
      </c>
    </row>
    <row r="266" spans="1:8" x14ac:dyDescent="0.2">
      <c r="A266" s="2" t="s">
        <v>30</v>
      </c>
      <c r="B266" s="2" t="s">
        <v>9</v>
      </c>
      <c r="C266" s="2">
        <v>32</v>
      </c>
      <c r="D266" s="2" t="s">
        <v>28</v>
      </c>
      <c r="E266" s="2" t="s">
        <v>10</v>
      </c>
      <c r="F266" s="2" t="s">
        <v>10</v>
      </c>
      <c r="G266" t="b">
        <f t="shared" si="4"/>
        <v>0</v>
      </c>
      <c r="H266" t="str">
        <f>IF(D266="PARSE_ERROR","Parse Error",IF(NOT(G266),IF(D266=E266,"No Conflict (Correct)","No Conflict (Incorrect)"),IF(D266=E266,"Guideline-compliant",IF(D266=F266,"Knowledge-override","Neither"))))</f>
        <v>Parse Error</v>
      </c>
    </row>
    <row r="267" spans="1:8" x14ac:dyDescent="0.2">
      <c r="A267" s="2" t="s">
        <v>30</v>
      </c>
      <c r="B267" s="2" t="s">
        <v>9</v>
      </c>
      <c r="C267" s="2">
        <v>41</v>
      </c>
      <c r="D267" s="2" t="s">
        <v>28</v>
      </c>
      <c r="E267" s="2" t="s">
        <v>14</v>
      </c>
      <c r="F267" s="2" t="s">
        <v>14</v>
      </c>
      <c r="G267" t="b">
        <f t="shared" si="4"/>
        <v>0</v>
      </c>
      <c r="H267" t="str">
        <f>IF(D267="PARSE_ERROR","Parse Error",IF(NOT(G267),IF(D267=E267,"No Conflict (Correct)","No Conflict (Incorrect)"),IF(D267=E267,"Guideline-compliant",IF(D267=F267,"Knowledge-override","Neither"))))</f>
        <v>Parse Error</v>
      </c>
    </row>
    <row r="268" spans="1:8" x14ac:dyDescent="0.2">
      <c r="A268" s="2" t="s">
        <v>30</v>
      </c>
      <c r="B268" s="2" t="s">
        <v>9</v>
      </c>
      <c r="C268" s="2">
        <v>42</v>
      </c>
      <c r="D268" s="2" t="s">
        <v>28</v>
      </c>
      <c r="E268" s="2" t="s">
        <v>14</v>
      </c>
      <c r="F268" s="2" t="s">
        <v>14</v>
      </c>
      <c r="G268" t="b">
        <f t="shared" si="4"/>
        <v>0</v>
      </c>
      <c r="H268" t="str">
        <f>IF(D268="PARSE_ERROR","Parse Error",IF(NOT(G268),IF(D268=E268,"No Conflict (Correct)","No Conflict (Incorrect)"),IF(D268=E268,"Guideline-compliant",IF(D268=F268,"Knowledge-override","Neither"))))</f>
        <v>Parse Error</v>
      </c>
    </row>
    <row r="269" spans="1:8" x14ac:dyDescent="0.2">
      <c r="A269" s="2" t="s">
        <v>30</v>
      </c>
      <c r="B269" s="2" t="s">
        <v>9</v>
      </c>
      <c r="C269" s="2">
        <v>51</v>
      </c>
      <c r="D269" s="2" t="s">
        <v>28</v>
      </c>
      <c r="E269" s="2" t="s">
        <v>14</v>
      </c>
      <c r="F269" s="2" t="s">
        <v>14</v>
      </c>
      <c r="G269" t="b">
        <f t="shared" si="4"/>
        <v>0</v>
      </c>
      <c r="H269" t="str">
        <f>IF(D269="PARSE_ERROR","Parse Error",IF(NOT(G269),IF(D269=E269,"No Conflict (Correct)","No Conflict (Incorrect)"),IF(D269=E269,"Guideline-compliant",IF(D269=F269,"Knowledge-override","Neither"))))</f>
        <v>Parse Error</v>
      </c>
    </row>
    <row r="270" spans="1:8" x14ac:dyDescent="0.2">
      <c r="A270" s="2" t="s">
        <v>30</v>
      </c>
      <c r="B270" s="2" t="s">
        <v>9</v>
      </c>
      <c r="C270" s="2">
        <v>52</v>
      </c>
      <c r="D270" s="2" t="s">
        <v>28</v>
      </c>
      <c r="E270" s="2" t="s">
        <v>14</v>
      </c>
      <c r="F270" s="2" t="s">
        <v>14</v>
      </c>
      <c r="G270" t="b">
        <f t="shared" si="4"/>
        <v>0</v>
      </c>
      <c r="H270" t="str">
        <f>IF(D270="PARSE_ERROR","Parse Error",IF(NOT(G270),IF(D270=E270,"No Conflict (Correct)","No Conflict (Incorrect)"),IF(D270=E270,"Guideline-compliant",IF(D270=F270,"Knowledge-override","Neither"))))</f>
        <v>Parse Error</v>
      </c>
    </row>
    <row r="271" spans="1:8" x14ac:dyDescent="0.2">
      <c r="A271" s="2" t="s">
        <v>8</v>
      </c>
      <c r="B271" s="2" t="s">
        <v>31</v>
      </c>
      <c r="C271" s="2">
        <v>1</v>
      </c>
      <c r="D271" s="2" t="s">
        <v>10</v>
      </c>
      <c r="E271" s="2" t="s">
        <v>10</v>
      </c>
      <c r="F271" s="2" t="s">
        <v>10</v>
      </c>
      <c r="G271" t="b">
        <f t="shared" si="4"/>
        <v>0</v>
      </c>
      <c r="H271" t="str">
        <f>IF(D271="PARSE_ERROR","Parse Error",IF(NOT(G271),IF(D271=E271,"No Conflict (Correct)","No Conflict (Incorrect)"),IF(D271=E271,"Guideline-compliant",IF(D271=F271,"Knowledge-override","Neither"))))</f>
        <v>No Conflict (Correct)</v>
      </c>
    </row>
    <row r="272" spans="1:8" x14ac:dyDescent="0.2">
      <c r="A272" s="2" t="s">
        <v>8</v>
      </c>
      <c r="B272" s="2" t="s">
        <v>31</v>
      </c>
      <c r="C272" s="2">
        <v>2</v>
      </c>
      <c r="D272" s="2" t="s">
        <v>14</v>
      </c>
      <c r="E272" s="2" t="s">
        <v>14</v>
      </c>
      <c r="F272" s="2" t="s">
        <v>10</v>
      </c>
      <c r="G272" t="b">
        <f t="shared" si="4"/>
        <v>1</v>
      </c>
      <c r="H272" t="str">
        <f>IF(D272="PARSE_ERROR","Parse Error",IF(NOT(G272),IF(D272=E272,"No Conflict (Correct)","No Conflict (Incorrect)"),IF(D272=E272,"Guideline-compliant",IF(D272=F272,"Knowledge-override","Neither"))))</f>
        <v>Guideline-compliant</v>
      </c>
    </row>
    <row r="273" spans="1:8" x14ac:dyDescent="0.2">
      <c r="A273" s="2" t="s">
        <v>8</v>
      </c>
      <c r="B273" s="2" t="s">
        <v>31</v>
      </c>
      <c r="C273" s="2">
        <v>3</v>
      </c>
      <c r="D273" s="2" t="s">
        <v>10</v>
      </c>
      <c r="E273" s="2" t="s">
        <v>10</v>
      </c>
      <c r="F273" s="2" t="s">
        <v>10</v>
      </c>
      <c r="G273" t="b">
        <f t="shared" si="4"/>
        <v>0</v>
      </c>
      <c r="H273" t="str">
        <f>IF(D273="PARSE_ERROR","Parse Error",IF(NOT(G273),IF(D273=E273,"No Conflict (Correct)","No Conflict (Incorrect)"),IF(D273=E273,"Guideline-compliant",IF(D273=F273,"Knowledge-override","Neither"))))</f>
        <v>No Conflict (Correct)</v>
      </c>
    </row>
    <row r="274" spans="1:8" x14ac:dyDescent="0.2">
      <c r="A274" s="2" t="s">
        <v>8</v>
      </c>
      <c r="B274" s="2" t="s">
        <v>31</v>
      </c>
      <c r="C274" s="2">
        <v>4</v>
      </c>
      <c r="D274" s="2" t="s">
        <v>14</v>
      </c>
      <c r="E274" s="2" t="s">
        <v>14</v>
      </c>
      <c r="F274" s="2" t="s">
        <v>10</v>
      </c>
      <c r="G274" t="b">
        <f t="shared" si="4"/>
        <v>1</v>
      </c>
      <c r="H274" t="str">
        <f>IF(D274="PARSE_ERROR","Parse Error",IF(NOT(G274),IF(D274=E274,"No Conflict (Correct)","No Conflict (Incorrect)"),IF(D274=E274,"Guideline-compliant",IF(D274=F274,"Knowledge-override","Neither"))))</f>
        <v>Guideline-compliant</v>
      </c>
    </row>
    <row r="275" spans="1:8" x14ac:dyDescent="0.2">
      <c r="A275" s="2" t="s">
        <v>8</v>
      </c>
      <c r="B275" s="2" t="s">
        <v>31</v>
      </c>
      <c r="C275" s="2">
        <v>11</v>
      </c>
      <c r="D275" s="2" t="s">
        <v>14</v>
      </c>
      <c r="E275" s="2" t="s">
        <v>14</v>
      </c>
      <c r="F275" s="2" t="s">
        <v>10</v>
      </c>
      <c r="G275" t="b">
        <f t="shared" si="4"/>
        <v>1</v>
      </c>
      <c r="H275" t="str">
        <f>IF(D275="PARSE_ERROR","Parse Error",IF(NOT(G275),IF(D275=E275,"No Conflict (Correct)","No Conflict (Incorrect)"),IF(D275=E275,"Guideline-compliant",IF(D275=F275,"Knowledge-override","Neither"))))</f>
        <v>Guideline-compliant</v>
      </c>
    </row>
    <row r="276" spans="1:8" x14ac:dyDescent="0.2">
      <c r="A276" s="2" t="s">
        <v>8</v>
      </c>
      <c r="B276" s="2" t="s">
        <v>31</v>
      </c>
      <c r="C276" s="2">
        <v>12</v>
      </c>
      <c r="D276" s="2" t="s">
        <v>14</v>
      </c>
      <c r="E276" s="2" t="s">
        <v>14</v>
      </c>
      <c r="F276" s="2" t="s">
        <v>10</v>
      </c>
      <c r="G276" t="b">
        <f t="shared" ref="G276:G339" si="5">IF(F276="N/A",FALSE,E276&lt;&gt;F276)</f>
        <v>1</v>
      </c>
      <c r="H276" t="str">
        <f>IF(D276="PARSE_ERROR","Parse Error",IF(NOT(G276),IF(D276=E276,"No Conflict (Correct)","No Conflict (Incorrect)"),IF(D276=E276,"Guideline-compliant",IF(D276=F276,"Knowledge-override","Neither"))))</f>
        <v>Guideline-compliant</v>
      </c>
    </row>
    <row r="277" spans="1:8" x14ac:dyDescent="0.2">
      <c r="A277" s="2" t="s">
        <v>8</v>
      </c>
      <c r="B277" s="2" t="s">
        <v>31</v>
      </c>
      <c r="C277" s="2">
        <v>13</v>
      </c>
      <c r="D277" s="2" t="s">
        <v>14</v>
      </c>
      <c r="E277" s="2" t="s">
        <v>14</v>
      </c>
      <c r="F277" s="2" t="s">
        <v>10</v>
      </c>
      <c r="G277" t="b">
        <f t="shared" si="5"/>
        <v>1</v>
      </c>
      <c r="H277" t="str">
        <f>IF(D277="PARSE_ERROR","Parse Error",IF(NOT(G277),IF(D277=E277,"No Conflict (Correct)","No Conflict (Incorrect)"),IF(D277=E277,"Guideline-compliant",IF(D277=F277,"Knowledge-override","Neither"))))</f>
        <v>Guideline-compliant</v>
      </c>
    </row>
    <row r="278" spans="1:8" x14ac:dyDescent="0.2">
      <c r="A278" s="2" t="s">
        <v>8</v>
      </c>
      <c r="B278" s="2" t="s">
        <v>31</v>
      </c>
      <c r="C278" s="2">
        <v>21</v>
      </c>
      <c r="D278" s="2" t="s">
        <v>14</v>
      </c>
      <c r="E278" s="2" t="s">
        <v>14</v>
      </c>
      <c r="F278" s="2" t="s">
        <v>10</v>
      </c>
      <c r="G278" t="b">
        <f t="shared" si="5"/>
        <v>1</v>
      </c>
      <c r="H278" t="str">
        <f>IF(D278="PARSE_ERROR","Parse Error",IF(NOT(G278),IF(D278=E278,"No Conflict (Correct)","No Conflict (Incorrect)"),IF(D278=E278,"Guideline-compliant",IF(D278=F278,"Knowledge-override","Neither"))))</f>
        <v>Guideline-compliant</v>
      </c>
    </row>
    <row r="279" spans="1:8" x14ac:dyDescent="0.2">
      <c r="A279" s="2" t="s">
        <v>8</v>
      </c>
      <c r="B279" s="2" t="s">
        <v>31</v>
      </c>
      <c r="C279" s="2">
        <v>22</v>
      </c>
      <c r="D279" s="2" t="s">
        <v>14</v>
      </c>
      <c r="E279" s="2" t="s">
        <v>14</v>
      </c>
      <c r="F279" s="2" t="s">
        <v>10</v>
      </c>
      <c r="G279" t="b">
        <f t="shared" si="5"/>
        <v>1</v>
      </c>
      <c r="H279" t="str">
        <f>IF(D279="PARSE_ERROR","Parse Error",IF(NOT(G279),IF(D279=E279,"No Conflict (Correct)","No Conflict (Incorrect)"),IF(D279=E279,"Guideline-compliant",IF(D279=F279,"Knowledge-override","Neither"))))</f>
        <v>Guideline-compliant</v>
      </c>
    </row>
    <row r="280" spans="1:8" x14ac:dyDescent="0.2">
      <c r="A280" s="2" t="s">
        <v>8</v>
      </c>
      <c r="B280" s="2" t="s">
        <v>31</v>
      </c>
      <c r="C280" s="2">
        <v>31</v>
      </c>
      <c r="D280" s="2" t="s">
        <v>10</v>
      </c>
      <c r="E280" s="2" t="s">
        <v>10</v>
      </c>
      <c r="F280" s="2" t="s">
        <v>10</v>
      </c>
      <c r="G280" t="b">
        <f t="shared" si="5"/>
        <v>0</v>
      </c>
      <c r="H280" t="str">
        <f>IF(D280="PARSE_ERROR","Parse Error",IF(NOT(G280),IF(D280=E280,"No Conflict (Correct)","No Conflict (Incorrect)"),IF(D280=E280,"Guideline-compliant",IF(D280=F280,"Knowledge-override","Neither"))))</f>
        <v>No Conflict (Correct)</v>
      </c>
    </row>
    <row r="281" spans="1:8" x14ac:dyDescent="0.2">
      <c r="A281" s="2" t="s">
        <v>8</v>
      </c>
      <c r="B281" s="2" t="s">
        <v>31</v>
      </c>
      <c r="C281" s="2">
        <v>32</v>
      </c>
      <c r="D281" s="2" t="s">
        <v>10</v>
      </c>
      <c r="E281" s="2" t="s">
        <v>10</v>
      </c>
      <c r="F281" s="2" t="s">
        <v>10</v>
      </c>
      <c r="G281" t="b">
        <f t="shared" si="5"/>
        <v>0</v>
      </c>
      <c r="H281" t="str">
        <f>IF(D281="PARSE_ERROR","Parse Error",IF(NOT(G281),IF(D281=E281,"No Conflict (Correct)","No Conflict (Incorrect)"),IF(D281=E281,"Guideline-compliant",IF(D281=F281,"Knowledge-override","Neither"))))</f>
        <v>No Conflict (Correct)</v>
      </c>
    </row>
    <row r="282" spans="1:8" x14ac:dyDescent="0.2">
      <c r="A282" s="2" t="s">
        <v>8</v>
      </c>
      <c r="B282" s="2" t="s">
        <v>31</v>
      </c>
      <c r="C282" s="2">
        <v>41</v>
      </c>
      <c r="D282" s="2" t="s">
        <v>14</v>
      </c>
      <c r="E282" s="2" t="s">
        <v>14</v>
      </c>
      <c r="F282" s="2" t="s">
        <v>14</v>
      </c>
      <c r="G282" t="b">
        <f t="shared" si="5"/>
        <v>0</v>
      </c>
      <c r="H282" t="str">
        <f>IF(D282="PARSE_ERROR","Parse Error",IF(NOT(G282),IF(D282=E282,"No Conflict (Correct)","No Conflict (Incorrect)"),IF(D282=E282,"Guideline-compliant",IF(D282=F282,"Knowledge-override","Neither"))))</f>
        <v>No Conflict (Correct)</v>
      </c>
    </row>
    <row r="283" spans="1:8" x14ac:dyDescent="0.2">
      <c r="A283" s="2" t="s">
        <v>8</v>
      </c>
      <c r="B283" s="2" t="s">
        <v>31</v>
      </c>
      <c r="C283" s="2">
        <v>42</v>
      </c>
      <c r="D283" s="2" t="s">
        <v>14</v>
      </c>
      <c r="E283" s="2" t="s">
        <v>14</v>
      </c>
      <c r="F283" s="2" t="s">
        <v>14</v>
      </c>
      <c r="G283" t="b">
        <f t="shared" si="5"/>
        <v>0</v>
      </c>
      <c r="H283" t="str">
        <f>IF(D283="PARSE_ERROR","Parse Error",IF(NOT(G283),IF(D283=E283,"No Conflict (Correct)","No Conflict (Incorrect)"),IF(D283=E283,"Guideline-compliant",IF(D283=F283,"Knowledge-override","Neither"))))</f>
        <v>No Conflict (Correct)</v>
      </c>
    </row>
    <row r="284" spans="1:8" x14ac:dyDescent="0.2">
      <c r="A284" s="2" t="s">
        <v>8</v>
      </c>
      <c r="B284" s="2" t="s">
        <v>31</v>
      </c>
      <c r="C284" s="2">
        <v>51</v>
      </c>
      <c r="D284" s="2" t="s">
        <v>14</v>
      </c>
      <c r="E284" s="2" t="s">
        <v>14</v>
      </c>
      <c r="F284" s="2" t="s">
        <v>14</v>
      </c>
      <c r="G284" t="b">
        <f t="shared" si="5"/>
        <v>0</v>
      </c>
      <c r="H284" t="str">
        <f>IF(D284="PARSE_ERROR","Parse Error",IF(NOT(G284),IF(D284=E284,"No Conflict (Correct)","No Conflict (Incorrect)"),IF(D284=E284,"Guideline-compliant",IF(D284=F284,"Knowledge-override","Neither"))))</f>
        <v>No Conflict (Correct)</v>
      </c>
    </row>
    <row r="285" spans="1:8" x14ac:dyDescent="0.2">
      <c r="A285" s="2" t="s">
        <v>8</v>
      </c>
      <c r="B285" s="2" t="s">
        <v>31</v>
      </c>
      <c r="C285" s="2">
        <v>52</v>
      </c>
      <c r="D285" s="2" t="s">
        <v>14</v>
      </c>
      <c r="E285" s="2" t="s">
        <v>14</v>
      </c>
      <c r="F285" s="2" t="s">
        <v>14</v>
      </c>
      <c r="G285" t="b">
        <f t="shared" si="5"/>
        <v>0</v>
      </c>
      <c r="H285" t="str">
        <f>IF(D285="PARSE_ERROR","Parse Error",IF(NOT(G285),IF(D285=E285,"No Conflict (Correct)","No Conflict (Incorrect)"),IF(D285=E285,"Guideline-compliant",IF(D285=F285,"Knowledge-override","Neither"))))</f>
        <v>No Conflict (Correct)</v>
      </c>
    </row>
    <row r="286" spans="1:8" x14ac:dyDescent="0.2">
      <c r="A286" s="2" t="s">
        <v>27</v>
      </c>
      <c r="B286" s="2" t="s">
        <v>31</v>
      </c>
      <c r="C286" s="2">
        <v>1</v>
      </c>
      <c r="D286" s="2" t="s">
        <v>10</v>
      </c>
      <c r="E286" s="2" t="s">
        <v>10</v>
      </c>
      <c r="F286" s="2" t="s">
        <v>10</v>
      </c>
      <c r="G286" t="b">
        <f t="shared" si="5"/>
        <v>0</v>
      </c>
      <c r="H286" t="str">
        <f>IF(D286="PARSE_ERROR","Parse Error",IF(NOT(G286),IF(D286=E286,"No Conflict (Correct)","No Conflict (Incorrect)"),IF(D286=E286,"Guideline-compliant",IF(D286=F286,"Knowledge-override","Neither"))))</f>
        <v>No Conflict (Correct)</v>
      </c>
    </row>
    <row r="287" spans="1:8" x14ac:dyDescent="0.2">
      <c r="A287" s="2" t="s">
        <v>27</v>
      </c>
      <c r="B287" s="2" t="s">
        <v>31</v>
      </c>
      <c r="C287" s="2">
        <v>2</v>
      </c>
      <c r="D287" s="2" t="s">
        <v>28</v>
      </c>
      <c r="E287" s="2" t="s">
        <v>14</v>
      </c>
      <c r="F287" s="2" t="s">
        <v>10</v>
      </c>
      <c r="G287" t="b">
        <f t="shared" si="5"/>
        <v>1</v>
      </c>
      <c r="H287" t="str">
        <f>IF(D287="PARSE_ERROR","Parse Error",IF(NOT(G287),IF(D287=E287,"No Conflict (Correct)","No Conflict (Incorrect)"),IF(D287=E287,"Guideline-compliant",IF(D287=F287,"Knowledge-override","Neither"))))</f>
        <v>Parse Error</v>
      </c>
    </row>
    <row r="288" spans="1:8" x14ac:dyDescent="0.2">
      <c r="A288" s="2" t="s">
        <v>27</v>
      </c>
      <c r="B288" s="2" t="s">
        <v>31</v>
      </c>
      <c r="C288" s="2">
        <v>3</v>
      </c>
      <c r="D288" s="2" t="s">
        <v>10</v>
      </c>
      <c r="E288" s="2" t="s">
        <v>10</v>
      </c>
      <c r="F288" s="2" t="s">
        <v>10</v>
      </c>
      <c r="G288" t="b">
        <f t="shared" si="5"/>
        <v>0</v>
      </c>
      <c r="H288" t="str">
        <f>IF(D288="PARSE_ERROR","Parse Error",IF(NOT(G288),IF(D288=E288,"No Conflict (Correct)","No Conflict (Incorrect)"),IF(D288=E288,"Guideline-compliant",IF(D288=F288,"Knowledge-override","Neither"))))</f>
        <v>No Conflict (Correct)</v>
      </c>
    </row>
    <row r="289" spans="1:8" x14ac:dyDescent="0.2">
      <c r="A289" s="2" t="s">
        <v>27</v>
      </c>
      <c r="B289" s="2" t="s">
        <v>31</v>
      </c>
      <c r="C289" s="2">
        <v>4</v>
      </c>
      <c r="D289" s="2" t="s">
        <v>28</v>
      </c>
      <c r="E289" s="2" t="s">
        <v>14</v>
      </c>
      <c r="F289" s="2" t="s">
        <v>10</v>
      </c>
      <c r="G289" t="b">
        <f t="shared" si="5"/>
        <v>1</v>
      </c>
      <c r="H289" t="str">
        <f>IF(D289="PARSE_ERROR","Parse Error",IF(NOT(G289),IF(D289=E289,"No Conflict (Correct)","No Conflict (Incorrect)"),IF(D289=E289,"Guideline-compliant",IF(D289=F289,"Knowledge-override","Neither"))))</f>
        <v>Parse Error</v>
      </c>
    </row>
    <row r="290" spans="1:8" x14ac:dyDescent="0.2">
      <c r="A290" s="2" t="s">
        <v>27</v>
      </c>
      <c r="B290" s="2" t="s">
        <v>31</v>
      </c>
      <c r="C290" s="2">
        <v>11</v>
      </c>
      <c r="D290" s="2" t="s">
        <v>28</v>
      </c>
      <c r="E290" s="2" t="s">
        <v>14</v>
      </c>
      <c r="F290" s="2" t="s">
        <v>10</v>
      </c>
      <c r="G290" t="b">
        <f t="shared" si="5"/>
        <v>1</v>
      </c>
      <c r="H290" t="str">
        <f>IF(D290="PARSE_ERROR","Parse Error",IF(NOT(G290),IF(D290=E290,"No Conflict (Correct)","No Conflict (Incorrect)"),IF(D290=E290,"Guideline-compliant",IF(D290=F290,"Knowledge-override","Neither"))))</f>
        <v>Parse Error</v>
      </c>
    </row>
    <row r="291" spans="1:8" x14ac:dyDescent="0.2">
      <c r="A291" s="2" t="s">
        <v>27</v>
      </c>
      <c r="B291" s="2" t="s">
        <v>31</v>
      </c>
      <c r="C291" s="2">
        <v>12</v>
      </c>
      <c r="D291" s="2" t="s">
        <v>28</v>
      </c>
      <c r="E291" s="2" t="s">
        <v>14</v>
      </c>
      <c r="F291" s="2" t="s">
        <v>10</v>
      </c>
      <c r="G291" t="b">
        <f t="shared" si="5"/>
        <v>1</v>
      </c>
      <c r="H291" t="str">
        <f>IF(D291="PARSE_ERROR","Parse Error",IF(NOT(G291),IF(D291=E291,"No Conflict (Correct)","No Conflict (Incorrect)"),IF(D291=E291,"Guideline-compliant",IF(D291=F291,"Knowledge-override","Neither"))))</f>
        <v>Parse Error</v>
      </c>
    </row>
    <row r="292" spans="1:8" x14ac:dyDescent="0.2">
      <c r="A292" s="2" t="s">
        <v>27</v>
      </c>
      <c r="B292" s="2" t="s">
        <v>31</v>
      </c>
      <c r="C292" s="2">
        <v>13</v>
      </c>
      <c r="D292" s="2" t="s">
        <v>28</v>
      </c>
      <c r="E292" s="2" t="s">
        <v>14</v>
      </c>
      <c r="F292" s="2" t="s">
        <v>10</v>
      </c>
      <c r="G292" t="b">
        <f t="shared" si="5"/>
        <v>1</v>
      </c>
      <c r="H292" t="str">
        <f>IF(D292="PARSE_ERROR","Parse Error",IF(NOT(G292),IF(D292=E292,"No Conflict (Correct)","No Conflict (Incorrect)"),IF(D292=E292,"Guideline-compliant",IF(D292=F292,"Knowledge-override","Neither"))))</f>
        <v>Parse Error</v>
      </c>
    </row>
    <row r="293" spans="1:8" x14ac:dyDescent="0.2">
      <c r="A293" s="2" t="s">
        <v>27</v>
      </c>
      <c r="B293" s="2" t="s">
        <v>31</v>
      </c>
      <c r="C293" s="2">
        <v>21</v>
      </c>
      <c r="D293" s="2" t="s">
        <v>28</v>
      </c>
      <c r="E293" s="2" t="s">
        <v>14</v>
      </c>
      <c r="F293" s="2" t="s">
        <v>10</v>
      </c>
      <c r="G293" t="b">
        <f t="shared" si="5"/>
        <v>1</v>
      </c>
      <c r="H293" t="str">
        <f>IF(D293="PARSE_ERROR","Parse Error",IF(NOT(G293),IF(D293=E293,"No Conflict (Correct)","No Conflict (Incorrect)"),IF(D293=E293,"Guideline-compliant",IF(D293=F293,"Knowledge-override","Neither"))))</f>
        <v>Parse Error</v>
      </c>
    </row>
    <row r="294" spans="1:8" x14ac:dyDescent="0.2">
      <c r="A294" s="2" t="s">
        <v>27</v>
      </c>
      <c r="B294" s="2" t="s">
        <v>31</v>
      </c>
      <c r="C294" s="2">
        <v>22</v>
      </c>
      <c r="D294" s="2" t="s">
        <v>28</v>
      </c>
      <c r="E294" s="2" t="s">
        <v>14</v>
      </c>
      <c r="F294" s="2" t="s">
        <v>10</v>
      </c>
      <c r="G294" t="b">
        <f t="shared" si="5"/>
        <v>1</v>
      </c>
      <c r="H294" t="str">
        <f>IF(D294="PARSE_ERROR","Parse Error",IF(NOT(G294),IF(D294=E294,"No Conflict (Correct)","No Conflict (Incorrect)"),IF(D294=E294,"Guideline-compliant",IF(D294=F294,"Knowledge-override","Neither"))))</f>
        <v>Parse Error</v>
      </c>
    </row>
    <row r="295" spans="1:8" x14ac:dyDescent="0.2">
      <c r="A295" s="2" t="s">
        <v>27</v>
      </c>
      <c r="B295" s="2" t="s">
        <v>31</v>
      </c>
      <c r="C295" s="2">
        <v>31</v>
      </c>
      <c r="D295" s="2" t="s">
        <v>28</v>
      </c>
      <c r="E295" s="2" t="s">
        <v>10</v>
      </c>
      <c r="F295" s="2" t="s">
        <v>10</v>
      </c>
      <c r="G295" t="b">
        <f t="shared" si="5"/>
        <v>0</v>
      </c>
      <c r="H295" t="str">
        <f>IF(D295="PARSE_ERROR","Parse Error",IF(NOT(G295),IF(D295=E295,"No Conflict (Correct)","No Conflict (Incorrect)"),IF(D295=E295,"Guideline-compliant",IF(D295=F295,"Knowledge-override","Neither"))))</f>
        <v>Parse Error</v>
      </c>
    </row>
    <row r="296" spans="1:8" x14ac:dyDescent="0.2">
      <c r="A296" s="2" t="s">
        <v>27</v>
      </c>
      <c r="B296" s="2" t="s">
        <v>31</v>
      </c>
      <c r="C296" s="2">
        <v>32</v>
      </c>
      <c r="D296" s="2" t="s">
        <v>10</v>
      </c>
      <c r="E296" s="2" t="s">
        <v>10</v>
      </c>
      <c r="F296" s="2" t="s">
        <v>10</v>
      </c>
      <c r="G296" t="b">
        <f t="shared" si="5"/>
        <v>0</v>
      </c>
      <c r="H296" t="str">
        <f>IF(D296="PARSE_ERROR","Parse Error",IF(NOT(G296),IF(D296=E296,"No Conflict (Correct)","No Conflict (Incorrect)"),IF(D296=E296,"Guideline-compliant",IF(D296=F296,"Knowledge-override","Neither"))))</f>
        <v>No Conflict (Correct)</v>
      </c>
    </row>
    <row r="297" spans="1:8" x14ac:dyDescent="0.2">
      <c r="A297" s="2" t="s">
        <v>27</v>
      </c>
      <c r="B297" s="2" t="s">
        <v>31</v>
      </c>
      <c r="C297" s="2">
        <v>41</v>
      </c>
      <c r="D297" s="2" t="s">
        <v>28</v>
      </c>
      <c r="E297" s="2" t="s">
        <v>14</v>
      </c>
      <c r="F297" s="2" t="s">
        <v>14</v>
      </c>
      <c r="G297" t="b">
        <f t="shared" si="5"/>
        <v>0</v>
      </c>
      <c r="H297" t="str">
        <f>IF(D297="PARSE_ERROR","Parse Error",IF(NOT(G297),IF(D297=E297,"No Conflict (Correct)","No Conflict (Incorrect)"),IF(D297=E297,"Guideline-compliant",IF(D297=F297,"Knowledge-override","Neither"))))</f>
        <v>Parse Error</v>
      </c>
    </row>
    <row r="298" spans="1:8" x14ac:dyDescent="0.2">
      <c r="A298" s="2" t="s">
        <v>27</v>
      </c>
      <c r="B298" s="2" t="s">
        <v>31</v>
      </c>
      <c r="C298" s="2">
        <v>42</v>
      </c>
      <c r="D298" s="2" t="s">
        <v>28</v>
      </c>
      <c r="E298" s="2" t="s">
        <v>14</v>
      </c>
      <c r="F298" s="2" t="s">
        <v>14</v>
      </c>
      <c r="G298" t="b">
        <f t="shared" si="5"/>
        <v>0</v>
      </c>
      <c r="H298" t="str">
        <f>IF(D298="PARSE_ERROR","Parse Error",IF(NOT(G298),IF(D298=E298,"No Conflict (Correct)","No Conflict (Incorrect)"),IF(D298=E298,"Guideline-compliant",IF(D298=F298,"Knowledge-override","Neither"))))</f>
        <v>Parse Error</v>
      </c>
    </row>
    <row r="299" spans="1:8" x14ac:dyDescent="0.2">
      <c r="A299" s="2" t="s">
        <v>27</v>
      </c>
      <c r="B299" s="2" t="s">
        <v>31</v>
      </c>
      <c r="C299" s="2">
        <v>51</v>
      </c>
      <c r="D299" s="2" t="s">
        <v>28</v>
      </c>
      <c r="E299" s="2" t="s">
        <v>14</v>
      </c>
      <c r="F299" s="2" t="s">
        <v>14</v>
      </c>
      <c r="G299" t="b">
        <f t="shared" si="5"/>
        <v>0</v>
      </c>
      <c r="H299" t="str">
        <f>IF(D299="PARSE_ERROR","Parse Error",IF(NOT(G299),IF(D299=E299,"No Conflict (Correct)","No Conflict (Incorrect)"),IF(D299=E299,"Guideline-compliant",IF(D299=F299,"Knowledge-override","Neither"))))</f>
        <v>Parse Error</v>
      </c>
    </row>
    <row r="300" spans="1:8" x14ac:dyDescent="0.2">
      <c r="A300" s="2" t="s">
        <v>27</v>
      </c>
      <c r="B300" s="2" t="s">
        <v>31</v>
      </c>
      <c r="C300" s="2">
        <v>52</v>
      </c>
      <c r="D300" s="2" t="s">
        <v>14</v>
      </c>
      <c r="E300" s="2" t="s">
        <v>14</v>
      </c>
      <c r="F300" s="2" t="s">
        <v>14</v>
      </c>
      <c r="G300" t="b">
        <f t="shared" si="5"/>
        <v>0</v>
      </c>
      <c r="H300" t="str">
        <f>IF(D300="PARSE_ERROR","Parse Error",IF(NOT(G300),IF(D300=E300,"No Conflict (Correct)","No Conflict (Incorrect)"),IF(D300=E300,"Guideline-compliant",IF(D300=F300,"Knowledge-override","Neither"))))</f>
        <v>No Conflict (Correct)</v>
      </c>
    </row>
    <row r="301" spans="1:8" x14ac:dyDescent="0.2">
      <c r="A301" s="2" t="s">
        <v>29</v>
      </c>
      <c r="B301" s="2" t="s">
        <v>31</v>
      </c>
      <c r="C301" s="2">
        <v>1</v>
      </c>
      <c r="D301" s="2" t="s">
        <v>10</v>
      </c>
      <c r="E301" s="2" t="s">
        <v>10</v>
      </c>
      <c r="F301" s="2" t="s">
        <v>10</v>
      </c>
      <c r="G301" t="b">
        <f t="shared" si="5"/>
        <v>0</v>
      </c>
      <c r="H301" t="str">
        <f>IF(D301="PARSE_ERROR","Parse Error",IF(NOT(G301),IF(D301=E301,"No Conflict (Correct)","No Conflict (Incorrect)"),IF(D301=E301,"Guideline-compliant",IF(D301=F301,"Knowledge-override","Neither"))))</f>
        <v>No Conflict (Correct)</v>
      </c>
    </row>
    <row r="302" spans="1:8" x14ac:dyDescent="0.2">
      <c r="A302" s="2" t="s">
        <v>29</v>
      </c>
      <c r="B302" s="2" t="s">
        <v>31</v>
      </c>
      <c r="C302" s="2">
        <v>2</v>
      </c>
      <c r="D302" s="2" t="s">
        <v>14</v>
      </c>
      <c r="E302" s="2" t="s">
        <v>14</v>
      </c>
      <c r="F302" s="2" t="s">
        <v>10</v>
      </c>
      <c r="G302" t="b">
        <f t="shared" si="5"/>
        <v>1</v>
      </c>
      <c r="H302" t="str">
        <f>IF(D302="PARSE_ERROR","Parse Error",IF(NOT(G302),IF(D302=E302,"No Conflict (Correct)","No Conflict (Incorrect)"),IF(D302=E302,"Guideline-compliant",IF(D302=F302,"Knowledge-override","Neither"))))</f>
        <v>Guideline-compliant</v>
      </c>
    </row>
    <row r="303" spans="1:8" x14ac:dyDescent="0.2">
      <c r="A303" s="2" t="s">
        <v>29</v>
      </c>
      <c r="B303" s="2" t="s">
        <v>31</v>
      </c>
      <c r="C303" s="2">
        <v>3</v>
      </c>
      <c r="D303" s="2" t="s">
        <v>10</v>
      </c>
      <c r="E303" s="2" t="s">
        <v>10</v>
      </c>
      <c r="F303" s="2" t="s">
        <v>10</v>
      </c>
      <c r="G303" t="b">
        <f t="shared" si="5"/>
        <v>0</v>
      </c>
      <c r="H303" t="str">
        <f>IF(D303="PARSE_ERROR","Parse Error",IF(NOT(G303),IF(D303=E303,"No Conflict (Correct)","No Conflict (Incorrect)"),IF(D303=E303,"Guideline-compliant",IF(D303=F303,"Knowledge-override","Neither"))))</f>
        <v>No Conflict (Correct)</v>
      </c>
    </row>
    <row r="304" spans="1:8" x14ac:dyDescent="0.2">
      <c r="A304" s="2" t="s">
        <v>29</v>
      </c>
      <c r="B304" s="2" t="s">
        <v>31</v>
      </c>
      <c r="C304" s="2">
        <v>4</v>
      </c>
      <c r="D304" s="2" t="s">
        <v>14</v>
      </c>
      <c r="E304" s="2" t="s">
        <v>14</v>
      </c>
      <c r="F304" s="2" t="s">
        <v>10</v>
      </c>
      <c r="G304" t="b">
        <f t="shared" si="5"/>
        <v>1</v>
      </c>
      <c r="H304" t="str">
        <f>IF(D304="PARSE_ERROR","Parse Error",IF(NOT(G304),IF(D304=E304,"No Conflict (Correct)","No Conflict (Incorrect)"),IF(D304=E304,"Guideline-compliant",IF(D304=F304,"Knowledge-override","Neither"))))</f>
        <v>Guideline-compliant</v>
      </c>
    </row>
    <row r="305" spans="1:8" x14ac:dyDescent="0.2">
      <c r="A305" s="2" t="s">
        <v>29</v>
      </c>
      <c r="B305" s="2" t="s">
        <v>31</v>
      </c>
      <c r="C305" s="2">
        <v>11</v>
      </c>
      <c r="D305" s="2" t="s">
        <v>14</v>
      </c>
      <c r="E305" s="2" t="s">
        <v>14</v>
      </c>
      <c r="F305" s="2" t="s">
        <v>10</v>
      </c>
      <c r="G305" t="b">
        <f t="shared" si="5"/>
        <v>1</v>
      </c>
      <c r="H305" t="str">
        <f>IF(D305="PARSE_ERROR","Parse Error",IF(NOT(G305),IF(D305=E305,"No Conflict (Correct)","No Conflict (Incorrect)"),IF(D305=E305,"Guideline-compliant",IF(D305=F305,"Knowledge-override","Neither"))))</f>
        <v>Guideline-compliant</v>
      </c>
    </row>
    <row r="306" spans="1:8" x14ac:dyDescent="0.2">
      <c r="A306" s="2" t="s">
        <v>29</v>
      </c>
      <c r="B306" s="2" t="s">
        <v>31</v>
      </c>
      <c r="C306" s="2">
        <v>12</v>
      </c>
      <c r="D306" s="2" t="s">
        <v>14</v>
      </c>
      <c r="E306" s="2" t="s">
        <v>14</v>
      </c>
      <c r="F306" s="2" t="s">
        <v>10</v>
      </c>
      <c r="G306" t="b">
        <f t="shared" si="5"/>
        <v>1</v>
      </c>
      <c r="H306" t="str">
        <f>IF(D306="PARSE_ERROR","Parse Error",IF(NOT(G306),IF(D306=E306,"No Conflict (Correct)","No Conflict (Incorrect)"),IF(D306=E306,"Guideline-compliant",IF(D306=F306,"Knowledge-override","Neither"))))</f>
        <v>Guideline-compliant</v>
      </c>
    </row>
    <row r="307" spans="1:8" x14ac:dyDescent="0.2">
      <c r="A307" s="2" t="s">
        <v>29</v>
      </c>
      <c r="B307" s="2" t="s">
        <v>31</v>
      </c>
      <c r="C307" s="2">
        <v>13</v>
      </c>
      <c r="D307" s="2" t="s">
        <v>14</v>
      </c>
      <c r="E307" s="2" t="s">
        <v>14</v>
      </c>
      <c r="F307" s="2" t="s">
        <v>10</v>
      </c>
      <c r="G307" t="b">
        <f t="shared" si="5"/>
        <v>1</v>
      </c>
      <c r="H307" t="str">
        <f>IF(D307="PARSE_ERROR","Parse Error",IF(NOT(G307),IF(D307=E307,"No Conflict (Correct)","No Conflict (Incorrect)"),IF(D307=E307,"Guideline-compliant",IF(D307=F307,"Knowledge-override","Neither"))))</f>
        <v>Guideline-compliant</v>
      </c>
    </row>
    <row r="308" spans="1:8" x14ac:dyDescent="0.2">
      <c r="A308" s="2" t="s">
        <v>29</v>
      </c>
      <c r="B308" s="2" t="s">
        <v>31</v>
      </c>
      <c r="C308" s="2">
        <v>21</v>
      </c>
      <c r="D308" s="2" t="s">
        <v>14</v>
      </c>
      <c r="E308" s="2" t="s">
        <v>14</v>
      </c>
      <c r="F308" s="2" t="s">
        <v>10</v>
      </c>
      <c r="G308" t="b">
        <f t="shared" si="5"/>
        <v>1</v>
      </c>
      <c r="H308" t="str">
        <f>IF(D308="PARSE_ERROR","Parse Error",IF(NOT(G308),IF(D308=E308,"No Conflict (Correct)","No Conflict (Incorrect)"),IF(D308=E308,"Guideline-compliant",IF(D308=F308,"Knowledge-override","Neither"))))</f>
        <v>Guideline-compliant</v>
      </c>
    </row>
    <row r="309" spans="1:8" x14ac:dyDescent="0.2">
      <c r="A309" s="2" t="s">
        <v>29</v>
      </c>
      <c r="B309" s="2" t="s">
        <v>31</v>
      </c>
      <c r="C309" s="2">
        <v>22</v>
      </c>
      <c r="D309" s="2" t="s">
        <v>14</v>
      </c>
      <c r="E309" s="2" t="s">
        <v>14</v>
      </c>
      <c r="F309" s="2" t="s">
        <v>10</v>
      </c>
      <c r="G309" t="b">
        <f t="shared" si="5"/>
        <v>1</v>
      </c>
      <c r="H309" t="str">
        <f>IF(D309="PARSE_ERROR","Parse Error",IF(NOT(G309),IF(D309=E309,"No Conflict (Correct)","No Conflict (Incorrect)"),IF(D309=E309,"Guideline-compliant",IF(D309=F309,"Knowledge-override","Neither"))))</f>
        <v>Guideline-compliant</v>
      </c>
    </row>
    <row r="310" spans="1:8" x14ac:dyDescent="0.2">
      <c r="A310" s="2" t="s">
        <v>29</v>
      </c>
      <c r="B310" s="2" t="s">
        <v>31</v>
      </c>
      <c r="C310" s="2">
        <v>31</v>
      </c>
      <c r="D310" s="2" t="s">
        <v>10</v>
      </c>
      <c r="E310" s="2" t="s">
        <v>10</v>
      </c>
      <c r="F310" s="2" t="s">
        <v>10</v>
      </c>
      <c r="G310" t="b">
        <f t="shared" si="5"/>
        <v>0</v>
      </c>
      <c r="H310" t="str">
        <f>IF(D310="PARSE_ERROR","Parse Error",IF(NOT(G310),IF(D310=E310,"No Conflict (Correct)","No Conflict (Incorrect)"),IF(D310=E310,"Guideline-compliant",IF(D310=F310,"Knowledge-override","Neither"))))</f>
        <v>No Conflict (Correct)</v>
      </c>
    </row>
    <row r="311" spans="1:8" x14ac:dyDescent="0.2">
      <c r="A311" s="2" t="s">
        <v>29</v>
      </c>
      <c r="B311" s="2" t="s">
        <v>31</v>
      </c>
      <c r="C311" s="2">
        <v>32</v>
      </c>
      <c r="D311" s="2" t="s">
        <v>10</v>
      </c>
      <c r="E311" s="2" t="s">
        <v>10</v>
      </c>
      <c r="F311" s="2" t="s">
        <v>10</v>
      </c>
      <c r="G311" t="b">
        <f t="shared" si="5"/>
        <v>0</v>
      </c>
      <c r="H311" t="str">
        <f>IF(D311="PARSE_ERROR","Parse Error",IF(NOT(G311),IF(D311=E311,"No Conflict (Correct)","No Conflict (Incorrect)"),IF(D311=E311,"Guideline-compliant",IF(D311=F311,"Knowledge-override","Neither"))))</f>
        <v>No Conflict (Correct)</v>
      </c>
    </row>
    <row r="312" spans="1:8" x14ac:dyDescent="0.2">
      <c r="A312" s="2" t="s">
        <v>29</v>
      </c>
      <c r="B312" s="2" t="s">
        <v>31</v>
      </c>
      <c r="C312" s="2">
        <v>41</v>
      </c>
      <c r="D312" s="2" t="s">
        <v>14</v>
      </c>
      <c r="E312" s="2" t="s">
        <v>14</v>
      </c>
      <c r="F312" s="2" t="s">
        <v>14</v>
      </c>
      <c r="G312" t="b">
        <f t="shared" si="5"/>
        <v>0</v>
      </c>
      <c r="H312" t="str">
        <f>IF(D312="PARSE_ERROR","Parse Error",IF(NOT(G312),IF(D312=E312,"No Conflict (Correct)","No Conflict (Incorrect)"),IF(D312=E312,"Guideline-compliant",IF(D312=F312,"Knowledge-override","Neither"))))</f>
        <v>No Conflict (Correct)</v>
      </c>
    </row>
    <row r="313" spans="1:8" x14ac:dyDescent="0.2">
      <c r="A313" s="2" t="s">
        <v>29</v>
      </c>
      <c r="B313" s="2" t="s">
        <v>31</v>
      </c>
      <c r="C313" s="2">
        <v>42</v>
      </c>
      <c r="D313" s="2" t="s">
        <v>14</v>
      </c>
      <c r="E313" s="2" t="s">
        <v>14</v>
      </c>
      <c r="F313" s="2" t="s">
        <v>14</v>
      </c>
      <c r="G313" t="b">
        <f t="shared" si="5"/>
        <v>0</v>
      </c>
      <c r="H313" t="str">
        <f>IF(D313="PARSE_ERROR","Parse Error",IF(NOT(G313),IF(D313=E313,"No Conflict (Correct)","No Conflict (Incorrect)"),IF(D313=E313,"Guideline-compliant",IF(D313=F313,"Knowledge-override","Neither"))))</f>
        <v>No Conflict (Correct)</v>
      </c>
    </row>
    <row r="314" spans="1:8" x14ac:dyDescent="0.2">
      <c r="A314" s="2" t="s">
        <v>29</v>
      </c>
      <c r="B314" s="2" t="s">
        <v>31</v>
      </c>
      <c r="C314" s="2">
        <v>51</v>
      </c>
      <c r="D314" s="2" t="s">
        <v>14</v>
      </c>
      <c r="E314" s="2" t="s">
        <v>14</v>
      </c>
      <c r="F314" s="2" t="s">
        <v>14</v>
      </c>
      <c r="G314" t="b">
        <f t="shared" si="5"/>
        <v>0</v>
      </c>
      <c r="H314" t="str">
        <f>IF(D314="PARSE_ERROR","Parse Error",IF(NOT(G314),IF(D314=E314,"No Conflict (Correct)","No Conflict (Incorrect)"),IF(D314=E314,"Guideline-compliant",IF(D314=F314,"Knowledge-override","Neither"))))</f>
        <v>No Conflict (Correct)</v>
      </c>
    </row>
    <row r="315" spans="1:8" x14ac:dyDescent="0.2">
      <c r="A315" s="2" t="s">
        <v>29</v>
      </c>
      <c r="B315" s="2" t="s">
        <v>31</v>
      </c>
      <c r="C315" s="2">
        <v>52</v>
      </c>
      <c r="D315" s="2" t="s">
        <v>14</v>
      </c>
      <c r="E315" s="2" t="s">
        <v>14</v>
      </c>
      <c r="F315" s="2" t="s">
        <v>14</v>
      </c>
      <c r="G315" t="b">
        <f t="shared" si="5"/>
        <v>0</v>
      </c>
      <c r="H315" t="str">
        <f>IF(D315="PARSE_ERROR","Parse Error",IF(NOT(G315),IF(D315=E315,"No Conflict (Correct)","No Conflict (Incorrect)"),IF(D315=E315,"Guideline-compliant",IF(D315=F315,"Knowledge-override","Neither"))))</f>
        <v>No Conflict (Correct)</v>
      </c>
    </row>
    <row r="316" spans="1:8" x14ac:dyDescent="0.2">
      <c r="A316" s="2" t="s">
        <v>30</v>
      </c>
      <c r="B316" s="2" t="s">
        <v>31</v>
      </c>
      <c r="C316" s="2">
        <v>1</v>
      </c>
      <c r="D316" s="2" t="s">
        <v>28</v>
      </c>
      <c r="E316" s="2" t="s">
        <v>10</v>
      </c>
      <c r="F316" s="2" t="s">
        <v>10</v>
      </c>
      <c r="G316" t="b">
        <f t="shared" si="5"/>
        <v>0</v>
      </c>
      <c r="H316" t="str">
        <f>IF(D316="PARSE_ERROR","Parse Error",IF(NOT(G316),IF(D316=E316,"No Conflict (Correct)","No Conflict (Incorrect)"),IF(D316=E316,"Guideline-compliant",IF(D316=F316,"Knowledge-override","Neither"))))</f>
        <v>Parse Error</v>
      </c>
    </row>
    <row r="317" spans="1:8" x14ac:dyDescent="0.2">
      <c r="A317" s="2" t="s">
        <v>30</v>
      </c>
      <c r="B317" s="2" t="s">
        <v>31</v>
      </c>
      <c r="C317" s="2">
        <v>2</v>
      </c>
      <c r="D317" s="2" t="s">
        <v>28</v>
      </c>
      <c r="E317" s="2" t="s">
        <v>14</v>
      </c>
      <c r="F317" s="2" t="s">
        <v>10</v>
      </c>
      <c r="G317" t="b">
        <f t="shared" si="5"/>
        <v>1</v>
      </c>
      <c r="H317" t="str">
        <f>IF(D317="PARSE_ERROR","Parse Error",IF(NOT(G317),IF(D317=E317,"No Conflict (Correct)","No Conflict (Incorrect)"),IF(D317=E317,"Guideline-compliant",IF(D317=F317,"Knowledge-override","Neither"))))</f>
        <v>Parse Error</v>
      </c>
    </row>
    <row r="318" spans="1:8" x14ac:dyDescent="0.2">
      <c r="A318" s="2" t="s">
        <v>30</v>
      </c>
      <c r="B318" s="2" t="s">
        <v>31</v>
      </c>
      <c r="C318" s="2">
        <v>3</v>
      </c>
      <c r="D318" s="2" t="s">
        <v>28</v>
      </c>
      <c r="E318" s="2" t="s">
        <v>10</v>
      </c>
      <c r="F318" s="2" t="s">
        <v>10</v>
      </c>
      <c r="G318" t="b">
        <f t="shared" si="5"/>
        <v>0</v>
      </c>
      <c r="H318" t="str">
        <f>IF(D318="PARSE_ERROR","Parse Error",IF(NOT(G318),IF(D318=E318,"No Conflict (Correct)","No Conflict (Incorrect)"),IF(D318=E318,"Guideline-compliant",IF(D318=F318,"Knowledge-override","Neither"))))</f>
        <v>Parse Error</v>
      </c>
    </row>
    <row r="319" spans="1:8" x14ac:dyDescent="0.2">
      <c r="A319" s="2" t="s">
        <v>30</v>
      </c>
      <c r="B319" s="2" t="s">
        <v>31</v>
      </c>
      <c r="C319" s="2">
        <v>4</v>
      </c>
      <c r="D319" s="2" t="s">
        <v>28</v>
      </c>
      <c r="E319" s="2" t="s">
        <v>14</v>
      </c>
      <c r="F319" s="2" t="s">
        <v>10</v>
      </c>
      <c r="G319" t="b">
        <f t="shared" si="5"/>
        <v>1</v>
      </c>
      <c r="H319" t="str">
        <f>IF(D319="PARSE_ERROR","Parse Error",IF(NOT(G319),IF(D319=E319,"No Conflict (Correct)","No Conflict (Incorrect)"),IF(D319=E319,"Guideline-compliant",IF(D319=F319,"Knowledge-override","Neither"))))</f>
        <v>Parse Error</v>
      </c>
    </row>
    <row r="320" spans="1:8" x14ac:dyDescent="0.2">
      <c r="A320" s="2" t="s">
        <v>30</v>
      </c>
      <c r="B320" s="2" t="s">
        <v>31</v>
      </c>
      <c r="C320" s="2">
        <v>11</v>
      </c>
      <c r="D320" s="2" t="s">
        <v>28</v>
      </c>
      <c r="E320" s="2" t="s">
        <v>14</v>
      </c>
      <c r="F320" s="2" t="s">
        <v>10</v>
      </c>
      <c r="G320" t="b">
        <f t="shared" si="5"/>
        <v>1</v>
      </c>
      <c r="H320" t="str">
        <f>IF(D320="PARSE_ERROR","Parse Error",IF(NOT(G320),IF(D320=E320,"No Conflict (Correct)","No Conflict (Incorrect)"),IF(D320=E320,"Guideline-compliant",IF(D320=F320,"Knowledge-override","Neither"))))</f>
        <v>Parse Error</v>
      </c>
    </row>
    <row r="321" spans="1:8" x14ac:dyDescent="0.2">
      <c r="A321" s="2" t="s">
        <v>30</v>
      </c>
      <c r="B321" s="2" t="s">
        <v>31</v>
      </c>
      <c r="C321" s="2">
        <v>12</v>
      </c>
      <c r="D321" s="2" t="s">
        <v>28</v>
      </c>
      <c r="E321" s="2" t="s">
        <v>14</v>
      </c>
      <c r="F321" s="2" t="s">
        <v>10</v>
      </c>
      <c r="G321" t="b">
        <f t="shared" si="5"/>
        <v>1</v>
      </c>
      <c r="H321" t="str">
        <f>IF(D321="PARSE_ERROR","Parse Error",IF(NOT(G321),IF(D321=E321,"No Conflict (Correct)","No Conflict (Incorrect)"),IF(D321=E321,"Guideline-compliant",IF(D321=F321,"Knowledge-override","Neither"))))</f>
        <v>Parse Error</v>
      </c>
    </row>
    <row r="322" spans="1:8" x14ac:dyDescent="0.2">
      <c r="A322" s="2" t="s">
        <v>30</v>
      </c>
      <c r="B322" s="2" t="s">
        <v>31</v>
      </c>
      <c r="C322" s="2">
        <v>13</v>
      </c>
      <c r="D322" s="2" t="s">
        <v>28</v>
      </c>
      <c r="E322" s="2" t="s">
        <v>14</v>
      </c>
      <c r="F322" s="2" t="s">
        <v>10</v>
      </c>
      <c r="G322" t="b">
        <f t="shared" si="5"/>
        <v>1</v>
      </c>
      <c r="H322" t="str">
        <f>IF(D322="PARSE_ERROR","Parse Error",IF(NOT(G322),IF(D322=E322,"No Conflict (Correct)","No Conflict (Incorrect)"),IF(D322=E322,"Guideline-compliant",IF(D322=F322,"Knowledge-override","Neither"))))</f>
        <v>Parse Error</v>
      </c>
    </row>
    <row r="323" spans="1:8" x14ac:dyDescent="0.2">
      <c r="A323" s="2" t="s">
        <v>30</v>
      </c>
      <c r="B323" s="2" t="s">
        <v>31</v>
      </c>
      <c r="C323" s="2">
        <v>21</v>
      </c>
      <c r="D323" s="2" t="s">
        <v>28</v>
      </c>
      <c r="E323" s="2" t="s">
        <v>14</v>
      </c>
      <c r="F323" s="2" t="s">
        <v>10</v>
      </c>
      <c r="G323" t="b">
        <f t="shared" si="5"/>
        <v>1</v>
      </c>
      <c r="H323" t="str">
        <f>IF(D323="PARSE_ERROR","Parse Error",IF(NOT(G323),IF(D323=E323,"No Conflict (Correct)","No Conflict (Incorrect)"),IF(D323=E323,"Guideline-compliant",IF(D323=F323,"Knowledge-override","Neither"))))</f>
        <v>Parse Error</v>
      </c>
    </row>
    <row r="324" spans="1:8" x14ac:dyDescent="0.2">
      <c r="A324" s="2" t="s">
        <v>30</v>
      </c>
      <c r="B324" s="2" t="s">
        <v>31</v>
      </c>
      <c r="C324" s="2">
        <v>22</v>
      </c>
      <c r="D324" s="2" t="s">
        <v>28</v>
      </c>
      <c r="E324" s="2" t="s">
        <v>14</v>
      </c>
      <c r="F324" s="2" t="s">
        <v>10</v>
      </c>
      <c r="G324" t="b">
        <f t="shared" si="5"/>
        <v>1</v>
      </c>
      <c r="H324" t="str">
        <f>IF(D324="PARSE_ERROR","Parse Error",IF(NOT(G324),IF(D324=E324,"No Conflict (Correct)","No Conflict (Incorrect)"),IF(D324=E324,"Guideline-compliant",IF(D324=F324,"Knowledge-override","Neither"))))</f>
        <v>Parse Error</v>
      </c>
    </row>
    <row r="325" spans="1:8" x14ac:dyDescent="0.2">
      <c r="A325" s="2" t="s">
        <v>30</v>
      </c>
      <c r="B325" s="2" t="s">
        <v>31</v>
      </c>
      <c r="C325" s="2">
        <v>31</v>
      </c>
      <c r="D325" s="2" t="s">
        <v>28</v>
      </c>
      <c r="E325" s="2" t="s">
        <v>10</v>
      </c>
      <c r="F325" s="2" t="s">
        <v>10</v>
      </c>
      <c r="G325" t="b">
        <f t="shared" si="5"/>
        <v>0</v>
      </c>
      <c r="H325" t="str">
        <f>IF(D325="PARSE_ERROR","Parse Error",IF(NOT(G325),IF(D325=E325,"No Conflict (Correct)","No Conflict (Incorrect)"),IF(D325=E325,"Guideline-compliant",IF(D325=F325,"Knowledge-override","Neither"))))</f>
        <v>Parse Error</v>
      </c>
    </row>
    <row r="326" spans="1:8" x14ac:dyDescent="0.2">
      <c r="A326" s="2" t="s">
        <v>30</v>
      </c>
      <c r="B326" s="2" t="s">
        <v>31</v>
      </c>
      <c r="C326" s="2">
        <v>32</v>
      </c>
      <c r="D326" s="2" t="s">
        <v>28</v>
      </c>
      <c r="E326" s="2" t="s">
        <v>10</v>
      </c>
      <c r="F326" s="2" t="s">
        <v>10</v>
      </c>
      <c r="G326" t="b">
        <f t="shared" si="5"/>
        <v>0</v>
      </c>
      <c r="H326" t="str">
        <f>IF(D326="PARSE_ERROR","Parse Error",IF(NOT(G326),IF(D326=E326,"No Conflict (Correct)","No Conflict (Incorrect)"),IF(D326=E326,"Guideline-compliant",IF(D326=F326,"Knowledge-override","Neither"))))</f>
        <v>Parse Error</v>
      </c>
    </row>
    <row r="327" spans="1:8" x14ac:dyDescent="0.2">
      <c r="A327" s="2" t="s">
        <v>30</v>
      </c>
      <c r="B327" s="2" t="s">
        <v>31</v>
      </c>
      <c r="C327" s="2">
        <v>41</v>
      </c>
      <c r="D327" s="2" t="s">
        <v>28</v>
      </c>
      <c r="E327" s="2" t="s">
        <v>14</v>
      </c>
      <c r="F327" s="2" t="s">
        <v>14</v>
      </c>
      <c r="G327" t="b">
        <f t="shared" si="5"/>
        <v>0</v>
      </c>
      <c r="H327" t="str">
        <f>IF(D327="PARSE_ERROR","Parse Error",IF(NOT(G327),IF(D327=E327,"No Conflict (Correct)","No Conflict (Incorrect)"),IF(D327=E327,"Guideline-compliant",IF(D327=F327,"Knowledge-override","Neither"))))</f>
        <v>Parse Error</v>
      </c>
    </row>
    <row r="328" spans="1:8" x14ac:dyDescent="0.2">
      <c r="A328" s="2" t="s">
        <v>30</v>
      </c>
      <c r="B328" s="2" t="s">
        <v>31</v>
      </c>
      <c r="C328" s="2">
        <v>42</v>
      </c>
      <c r="D328" s="2" t="s">
        <v>28</v>
      </c>
      <c r="E328" s="2" t="s">
        <v>14</v>
      </c>
      <c r="F328" s="2" t="s">
        <v>14</v>
      </c>
      <c r="G328" t="b">
        <f t="shared" si="5"/>
        <v>0</v>
      </c>
      <c r="H328" t="str">
        <f>IF(D328="PARSE_ERROR","Parse Error",IF(NOT(G328),IF(D328=E328,"No Conflict (Correct)","No Conflict (Incorrect)"),IF(D328=E328,"Guideline-compliant",IF(D328=F328,"Knowledge-override","Neither"))))</f>
        <v>Parse Error</v>
      </c>
    </row>
    <row r="329" spans="1:8" x14ac:dyDescent="0.2">
      <c r="A329" s="2" t="s">
        <v>30</v>
      </c>
      <c r="B329" s="2" t="s">
        <v>31</v>
      </c>
      <c r="C329" s="2">
        <v>51</v>
      </c>
      <c r="D329" s="2" t="s">
        <v>28</v>
      </c>
      <c r="E329" s="2" t="s">
        <v>14</v>
      </c>
      <c r="F329" s="2" t="s">
        <v>14</v>
      </c>
      <c r="G329" t="b">
        <f t="shared" si="5"/>
        <v>0</v>
      </c>
      <c r="H329" t="str">
        <f>IF(D329="PARSE_ERROR","Parse Error",IF(NOT(G329),IF(D329=E329,"No Conflict (Correct)","No Conflict (Incorrect)"),IF(D329=E329,"Guideline-compliant",IF(D329=F329,"Knowledge-override","Neither"))))</f>
        <v>Parse Error</v>
      </c>
    </row>
    <row r="330" spans="1:8" x14ac:dyDescent="0.2">
      <c r="A330" s="2" t="s">
        <v>30</v>
      </c>
      <c r="B330" s="2" t="s">
        <v>31</v>
      </c>
      <c r="C330" s="2">
        <v>52</v>
      </c>
      <c r="D330" s="2" t="s">
        <v>28</v>
      </c>
      <c r="E330" s="2" t="s">
        <v>14</v>
      </c>
      <c r="F330" s="2" t="s">
        <v>14</v>
      </c>
      <c r="G330" t="b">
        <f t="shared" si="5"/>
        <v>0</v>
      </c>
      <c r="H330" t="str">
        <f>IF(D330="PARSE_ERROR","Parse Error",IF(NOT(G330),IF(D330=E330,"No Conflict (Correct)","No Conflict (Incorrect)"),IF(D330=E330,"Guideline-compliant",IF(D330=F330,"Knowledge-override","Neither"))))</f>
        <v>Parse Error</v>
      </c>
    </row>
    <row r="331" spans="1:8" x14ac:dyDescent="0.2">
      <c r="A331" s="2" t="s">
        <v>8</v>
      </c>
      <c r="B331" s="2" t="s">
        <v>32</v>
      </c>
      <c r="C331" s="2">
        <v>1</v>
      </c>
      <c r="D331" s="2" t="s">
        <v>10</v>
      </c>
      <c r="E331" s="2" t="s">
        <v>14</v>
      </c>
      <c r="F331" s="2" t="s">
        <v>10</v>
      </c>
      <c r="G331" t="b">
        <f t="shared" si="5"/>
        <v>1</v>
      </c>
      <c r="H331" t="str">
        <f>IF(D331="PARSE_ERROR","Parse Error",IF(NOT(G331),IF(D331=E331,"No Conflict (Correct)","No Conflict (Incorrect)"),IF(D331=E331,"Guideline-compliant",IF(D331=F331,"Knowledge-override","Neither"))))</f>
        <v>Knowledge-override</v>
      </c>
    </row>
    <row r="332" spans="1:8" x14ac:dyDescent="0.2">
      <c r="A332" s="2" t="s">
        <v>8</v>
      </c>
      <c r="B332" s="2" t="s">
        <v>32</v>
      </c>
      <c r="C332" s="2">
        <v>2</v>
      </c>
      <c r="D332" s="2" t="s">
        <v>10</v>
      </c>
      <c r="E332" s="2" t="s">
        <v>14</v>
      </c>
      <c r="F332" s="2" t="s">
        <v>10</v>
      </c>
      <c r="G332" t="b">
        <f t="shared" si="5"/>
        <v>1</v>
      </c>
      <c r="H332" t="str">
        <f>IF(D332="PARSE_ERROR","Parse Error",IF(NOT(G332),IF(D332=E332,"No Conflict (Correct)","No Conflict (Incorrect)"),IF(D332=E332,"Guideline-compliant",IF(D332=F332,"Knowledge-override","Neither"))))</f>
        <v>Knowledge-override</v>
      </c>
    </row>
    <row r="333" spans="1:8" x14ac:dyDescent="0.2">
      <c r="A333" s="2" t="s">
        <v>8</v>
      </c>
      <c r="B333" s="2" t="s">
        <v>32</v>
      </c>
      <c r="C333" s="2">
        <v>3</v>
      </c>
      <c r="D333" s="2" t="s">
        <v>10</v>
      </c>
      <c r="E333" s="2" t="s">
        <v>14</v>
      </c>
      <c r="F333" s="2" t="s">
        <v>10</v>
      </c>
      <c r="G333" t="b">
        <f t="shared" si="5"/>
        <v>1</v>
      </c>
      <c r="H333" t="str">
        <f>IF(D333="PARSE_ERROR","Parse Error",IF(NOT(G333),IF(D333=E333,"No Conflict (Correct)","No Conflict (Incorrect)"),IF(D333=E333,"Guideline-compliant",IF(D333=F333,"Knowledge-override","Neither"))))</f>
        <v>Knowledge-override</v>
      </c>
    </row>
    <row r="334" spans="1:8" x14ac:dyDescent="0.2">
      <c r="A334" s="2" t="s">
        <v>8</v>
      </c>
      <c r="B334" s="2" t="s">
        <v>32</v>
      </c>
      <c r="C334" s="2">
        <v>4</v>
      </c>
      <c r="D334" s="2" t="s">
        <v>10</v>
      </c>
      <c r="E334" s="2" t="s">
        <v>14</v>
      </c>
      <c r="F334" s="2" t="s">
        <v>10</v>
      </c>
      <c r="G334" t="b">
        <f t="shared" si="5"/>
        <v>1</v>
      </c>
      <c r="H334" t="str">
        <f>IF(D334="PARSE_ERROR","Parse Error",IF(NOT(G334),IF(D334=E334,"No Conflict (Correct)","No Conflict (Incorrect)"),IF(D334=E334,"Guideline-compliant",IF(D334=F334,"Knowledge-override","Neither"))))</f>
        <v>Knowledge-override</v>
      </c>
    </row>
    <row r="335" spans="1:8" x14ac:dyDescent="0.2">
      <c r="A335" s="2" t="s">
        <v>8</v>
      </c>
      <c r="B335" s="2" t="s">
        <v>32</v>
      </c>
      <c r="C335" s="2">
        <v>11</v>
      </c>
      <c r="D335" s="2" t="s">
        <v>10</v>
      </c>
      <c r="E335" s="2" t="s">
        <v>14</v>
      </c>
      <c r="F335" s="2" t="s">
        <v>10</v>
      </c>
      <c r="G335" t="b">
        <f t="shared" si="5"/>
        <v>1</v>
      </c>
      <c r="H335" t="str">
        <f>IF(D335="PARSE_ERROR","Parse Error",IF(NOT(G335),IF(D335=E335,"No Conflict (Correct)","No Conflict (Incorrect)"),IF(D335=E335,"Guideline-compliant",IF(D335=F335,"Knowledge-override","Neither"))))</f>
        <v>Knowledge-override</v>
      </c>
    </row>
    <row r="336" spans="1:8" x14ac:dyDescent="0.2">
      <c r="A336" s="2" t="s">
        <v>8</v>
      </c>
      <c r="B336" s="2" t="s">
        <v>32</v>
      </c>
      <c r="C336" s="2">
        <v>12</v>
      </c>
      <c r="D336" s="2" t="s">
        <v>10</v>
      </c>
      <c r="E336" s="2" t="s">
        <v>14</v>
      </c>
      <c r="F336" s="2" t="s">
        <v>10</v>
      </c>
      <c r="G336" t="b">
        <f t="shared" si="5"/>
        <v>1</v>
      </c>
      <c r="H336" t="str">
        <f>IF(D336="PARSE_ERROR","Parse Error",IF(NOT(G336),IF(D336=E336,"No Conflict (Correct)","No Conflict (Incorrect)"),IF(D336=E336,"Guideline-compliant",IF(D336=F336,"Knowledge-override","Neither"))))</f>
        <v>Knowledge-override</v>
      </c>
    </row>
    <row r="337" spans="1:8" x14ac:dyDescent="0.2">
      <c r="A337" s="2" t="s">
        <v>8</v>
      </c>
      <c r="B337" s="2" t="s">
        <v>32</v>
      </c>
      <c r="C337" s="2">
        <v>13</v>
      </c>
      <c r="D337" s="2" t="s">
        <v>10</v>
      </c>
      <c r="E337" s="2" t="s">
        <v>14</v>
      </c>
      <c r="F337" s="2" t="s">
        <v>10</v>
      </c>
      <c r="G337" t="b">
        <f t="shared" si="5"/>
        <v>1</v>
      </c>
      <c r="H337" t="str">
        <f>IF(D337="PARSE_ERROR","Parse Error",IF(NOT(G337),IF(D337=E337,"No Conflict (Correct)","No Conflict (Incorrect)"),IF(D337=E337,"Guideline-compliant",IF(D337=F337,"Knowledge-override","Neither"))))</f>
        <v>Knowledge-override</v>
      </c>
    </row>
    <row r="338" spans="1:8" x14ac:dyDescent="0.2">
      <c r="A338" s="2" t="s">
        <v>8</v>
      </c>
      <c r="B338" s="2" t="s">
        <v>32</v>
      </c>
      <c r="C338" s="2">
        <v>21</v>
      </c>
      <c r="D338" s="2" t="s">
        <v>10</v>
      </c>
      <c r="E338" s="2" t="s">
        <v>14</v>
      </c>
      <c r="F338" s="2" t="s">
        <v>10</v>
      </c>
      <c r="G338" t="b">
        <f t="shared" si="5"/>
        <v>1</v>
      </c>
      <c r="H338" t="str">
        <f>IF(D338="PARSE_ERROR","Parse Error",IF(NOT(G338),IF(D338=E338,"No Conflict (Correct)","No Conflict (Incorrect)"),IF(D338=E338,"Guideline-compliant",IF(D338=F338,"Knowledge-override","Neither"))))</f>
        <v>Knowledge-override</v>
      </c>
    </row>
    <row r="339" spans="1:8" x14ac:dyDescent="0.2">
      <c r="A339" s="2" t="s">
        <v>8</v>
      </c>
      <c r="B339" s="2" t="s">
        <v>32</v>
      </c>
      <c r="C339" s="2">
        <v>22</v>
      </c>
      <c r="D339" s="2" t="s">
        <v>10</v>
      </c>
      <c r="E339" s="2" t="s">
        <v>14</v>
      </c>
      <c r="F339" s="2" t="s">
        <v>10</v>
      </c>
      <c r="G339" t="b">
        <f t="shared" si="5"/>
        <v>1</v>
      </c>
      <c r="H339" t="str">
        <f>IF(D339="PARSE_ERROR","Parse Error",IF(NOT(G339),IF(D339=E339,"No Conflict (Correct)","No Conflict (Incorrect)"),IF(D339=E339,"Guideline-compliant",IF(D339=F339,"Knowledge-override","Neither"))))</f>
        <v>Knowledge-override</v>
      </c>
    </row>
    <row r="340" spans="1:8" x14ac:dyDescent="0.2">
      <c r="A340" s="2" t="s">
        <v>8</v>
      </c>
      <c r="B340" s="2" t="s">
        <v>32</v>
      </c>
      <c r="C340" s="2">
        <v>31</v>
      </c>
      <c r="D340" s="2" t="s">
        <v>10</v>
      </c>
      <c r="E340" s="2" t="s">
        <v>14</v>
      </c>
      <c r="F340" s="2" t="s">
        <v>10</v>
      </c>
      <c r="G340" t="b">
        <f t="shared" ref="G340:G390" si="6">IF(F340="N/A",FALSE,E340&lt;&gt;F340)</f>
        <v>1</v>
      </c>
      <c r="H340" t="str">
        <f>IF(D340="PARSE_ERROR","Parse Error",IF(NOT(G340),IF(D340=E340,"No Conflict (Correct)","No Conflict (Incorrect)"),IF(D340=E340,"Guideline-compliant",IF(D340=F340,"Knowledge-override","Neither"))))</f>
        <v>Knowledge-override</v>
      </c>
    </row>
    <row r="341" spans="1:8" x14ac:dyDescent="0.2">
      <c r="A341" s="2" t="s">
        <v>8</v>
      </c>
      <c r="B341" s="2" t="s">
        <v>32</v>
      </c>
      <c r="C341" s="2">
        <v>32</v>
      </c>
      <c r="D341" s="2" t="s">
        <v>10</v>
      </c>
      <c r="E341" s="2" t="s">
        <v>14</v>
      </c>
      <c r="F341" s="2" t="s">
        <v>10</v>
      </c>
      <c r="G341" t="b">
        <f t="shared" si="6"/>
        <v>1</v>
      </c>
      <c r="H341" t="str">
        <f>IF(D341="PARSE_ERROR","Parse Error",IF(NOT(G341),IF(D341=E341,"No Conflict (Correct)","No Conflict (Incorrect)"),IF(D341=E341,"Guideline-compliant",IF(D341=F341,"Knowledge-override","Neither"))))</f>
        <v>Knowledge-override</v>
      </c>
    </row>
    <row r="342" spans="1:8" x14ac:dyDescent="0.2">
      <c r="A342" s="2" t="s">
        <v>8</v>
      </c>
      <c r="B342" s="2" t="s">
        <v>32</v>
      </c>
      <c r="C342" s="2">
        <v>41</v>
      </c>
      <c r="D342" s="2" t="s">
        <v>10</v>
      </c>
      <c r="E342" s="2" t="s">
        <v>10</v>
      </c>
      <c r="F342" s="2" t="s">
        <v>14</v>
      </c>
      <c r="G342" t="b">
        <f t="shared" si="6"/>
        <v>1</v>
      </c>
      <c r="H342" t="str">
        <f>IF(D342="PARSE_ERROR","Parse Error",IF(NOT(G342),IF(D342=E342,"No Conflict (Correct)","No Conflict (Incorrect)"),IF(D342=E342,"Guideline-compliant",IF(D342=F342,"Knowledge-override","Neither"))))</f>
        <v>Guideline-compliant</v>
      </c>
    </row>
    <row r="343" spans="1:8" x14ac:dyDescent="0.2">
      <c r="A343" s="2" t="s">
        <v>8</v>
      </c>
      <c r="B343" s="2" t="s">
        <v>32</v>
      </c>
      <c r="C343" s="2">
        <v>42</v>
      </c>
      <c r="D343" s="2" t="s">
        <v>10</v>
      </c>
      <c r="E343" s="2" t="s">
        <v>10</v>
      </c>
      <c r="F343" s="2" t="s">
        <v>14</v>
      </c>
      <c r="G343" t="b">
        <f t="shared" si="6"/>
        <v>1</v>
      </c>
      <c r="H343" t="str">
        <f>IF(D343="PARSE_ERROR","Parse Error",IF(NOT(G343),IF(D343=E343,"No Conflict (Correct)","No Conflict (Incorrect)"),IF(D343=E343,"Guideline-compliant",IF(D343=F343,"Knowledge-override","Neither"))))</f>
        <v>Guideline-compliant</v>
      </c>
    </row>
    <row r="344" spans="1:8" x14ac:dyDescent="0.2">
      <c r="A344" s="2" t="s">
        <v>8</v>
      </c>
      <c r="B344" s="2" t="s">
        <v>32</v>
      </c>
      <c r="C344" s="2">
        <v>51</v>
      </c>
      <c r="D344" s="2" t="s">
        <v>10</v>
      </c>
      <c r="E344" s="2" t="s">
        <v>10</v>
      </c>
      <c r="F344" s="2" t="s">
        <v>14</v>
      </c>
      <c r="G344" t="b">
        <f t="shared" si="6"/>
        <v>1</v>
      </c>
      <c r="H344" t="str">
        <f>IF(D344="PARSE_ERROR","Parse Error",IF(NOT(G344),IF(D344=E344,"No Conflict (Correct)","No Conflict (Incorrect)"),IF(D344=E344,"Guideline-compliant",IF(D344=F344,"Knowledge-override","Neither"))))</f>
        <v>Guideline-compliant</v>
      </c>
    </row>
    <row r="345" spans="1:8" x14ac:dyDescent="0.2">
      <c r="A345" s="2" t="s">
        <v>8</v>
      </c>
      <c r="B345" s="2" t="s">
        <v>32</v>
      </c>
      <c r="C345" s="2">
        <v>52</v>
      </c>
      <c r="D345" s="2" t="s">
        <v>10</v>
      </c>
      <c r="E345" s="2" t="s">
        <v>10</v>
      </c>
      <c r="F345" s="2" t="s">
        <v>14</v>
      </c>
      <c r="G345" t="b">
        <f t="shared" si="6"/>
        <v>1</v>
      </c>
      <c r="H345" t="str">
        <f>IF(D345="PARSE_ERROR","Parse Error",IF(NOT(G345),IF(D345=E345,"No Conflict (Correct)","No Conflict (Incorrect)"),IF(D345=E345,"Guideline-compliant",IF(D345=F345,"Knowledge-override","Neither"))))</f>
        <v>Guideline-compliant</v>
      </c>
    </row>
    <row r="346" spans="1:8" x14ac:dyDescent="0.2">
      <c r="A346" s="2" t="s">
        <v>27</v>
      </c>
      <c r="B346" s="2" t="s">
        <v>32</v>
      </c>
      <c r="C346" s="2">
        <v>1</v>
      </c>
      <c r="D346" s="2" t="s">
        <v>28</v>
      </c>
      <c r="E346" s="2" t="s">
        <v>14</v>
      </c>
      <c r="F346" s="2" t="s">
        <v>10</v>
      </c>
      <c r="G346" t="b">
        <f t="shared" si="6"/>
        <v>1</v>
      </c>
      <c r="H346" t="str">
        <f>IF(D346="PARSE_ERROR","Parse Error",IF(NOT(G346),IF(D346=E346,"No Conflict (Correct)","No Conflict (Incorrect)"),IF(D346=E346,"Guideline-compliant",IF(D346=F346,"Knowledge-override","Neither"))))</f>
        <v>Parse Error</v>
      </c>
    </row>
    <row r="347" spans="1:8" x14ac:dyDescent="0.2">
      <c r="A347" s="2" t="s">
        <v>27</v>
      </c>
      <c r="B347" s="2" t="s">
        <v>32</v>
      </c>
      <c r="C347" s="2">
        <v>2</v>
      </c>
      <c r="D347" s="2" t="s">
        <v>28</v>
      </c>
      <c r="E347" s="2" t="s">
        <v>14</v>
      </c>
      <c r="F347" s="2" t="s">
        <v>10</v>
      </c>
      <c r="G347" t="b">
        <f t="shared" si="6"/>
        <v>1</v>
      </c>
      <c r="H347" t="str">
        <f>IF(D347="PARSE_ERROR","Parse Error",IF(NOT(G347),IF(D347=E347,"No Conflict (Correct)","No Conflict (Incorrect)"),IF(D347=E347,"Guideline-compliant",IF(D347=F347,"Knowledge-override","Neither"))))</f>
        <v>Parse Error</v>
      </c>
    </row>
    <row r="348" spans="1:8" x14ac:dyDescent="0.2">
      <c r="A348" s="2" t="s">
        <v>27</v>
      </c>
      <c r="B348" s="2" t="s">
        <v>32</v>
      </c>
      <c r="C348" s="2">
        <v>3</v>
      </c>
      <c r="D348" s="2" t="s">
        <v>28</v>
      </c>
      <c r="E348" s="2" t="s">
        <v>14</v>
      </c>
      <c r="F348" s="2" t="s">
        <v>10</v>
      </c>
      <c r="G348" t="b">
        <f t="shared" si="6"/>
        <v>1</v>
      </c>
      <c r="H348" t="str">
        <f>IF(D348="PARSE_ERROR","Parse Error",IF(NOT(G348),IF(D348=E348,"No Conflict (Correct)","No Conflict (Incorrect)"),IF(D348=E348,"Guideline-compliant",IF(D348=F348,"Knowledge-override","Neither"))))</f>
        <v>Parse Error</v>
      </c>
    </row>
    <row r="349" spans="1:8" x14ac:dyDescent="0.2">
      <c r="A349" s="2" t="s">
        <v>27</v>
      </c>
      <c r="B349" s="2" t="s">
        <v>32</v>
      </c>
      <c r="C349" s="2">
        <v>4</v>
      </c>
      <c r="D349" s="2" t="s">
        <v>28</v>
      </c>
      <c r="E349" s="2" t="s">
        <v>14</v>
      </c>
      <c r="F349" s="2" t="s">
        <v>10</v>
      </c>
      <c r="G349" t="b">
        <f t="shared" si="6"/>
        <v>1</v>
      </c>
      <c r="H349" t="str">
        <f>IF(D349="PARSE_ERROR","Parse Error",IF(NOT(G349),IF(D349=E349,"No Conflict (Correct)","No Conflict (Incorrect)"),IF(D349=E349,"Guideline-compliant",IF(D349=F349,"Knowledge-override","Neither"))))</f>
        <v>Parse Error</v>
      </c>
    </row>
    <row r="350" spans="1:8" x14ac:dyDescent="0.2">
      <c r="A350" s="2" t="s">
        <v>27</v>
      </c>
      <c r="B350" s="2" t="s">
        <v>32</v>
      </c>
      <c r="C350" s="2">
        <v>11</v>
      </c>
      <c r="D350" s="2" t="s">
        <v>28</v>
      </c>
      <c r="E350" s="2" t="s">
        <v>14</v>
      </c>
      <c r="F350" s="2" t="s">
        <v>10</v>
      </c>
      <c r="G350" t="b">
        <f t="shared" si="6"/>
        <v>1</v>
      </c>
      <c r="H350" t="str">
        <f>IF(D350="PARSE_ERROR","Parse Error",IF(NOT(G350),IF(D350=E350,"No Conflict (Correct)","No Conflict (Incorrect)"),IF(D350=E350,"Guideline-compliant",IF(D350=F350,"Knowledge-override","Neither"))))</f>
        <v>Parse Error</v>
      </c>
    </row>
    <row r="351" spans="1:8" x14ac:dyDescent="0.2">
      <c r="A351" s="2" t="s">
        <v>27</v>
      </c>
      <c r="B351" s="2" t="s">
        <v>32</v>
      </c>
      <c r="C351" s="2">
        <v>12</v>
      </c>
      <c r="D351" s="2" t="s">
        <v>28</v>
      </c>
      <c r="E351" s="2" t="s">
        <v>14</v>
      </c>
      <c r="F351" s="2" t="s">
        <v>10</v>
      </c>
      <c r="G351" t="b">
        <f t="shared" si="6"/>
        <v>1</v>
      </c>
      <c r="H351" t="str">
        <f>IF(D351="PARSE_ERROR","Parse Error",IF(NOT(G351),IF(D351=E351,"No Conflict (Correct)","No Conflict (Incorrect)"),IF(D351=E351,"Guideline-compliant",IF(D351=F351,"Knowledge-override","Neither"))))</f>
        <v>Parse Error</v>
      </c>
    </row>
    <row r="352" spans="1:8" x14ac:dyDescent="0.2">
      <c r="A352" s="2" t="s">
        <v>27</v>
      </c>
      <c r="B352" s="2" t="s">
        <v>32</v>
      </c>
      <c r="C352" s="2">
        <v>13</v>
      </c>
      <c r="D352" s="2" t="s">
        <v>28</v>
      </c>
      <c r="E352" s="2" t="s">
        <v>14</v>
      </c>
      <c r="F352" s="2" t="s">
        <v>10</v>
      </c>
      <c r="G352" t="b">
        <f t="shared" si="6"/>
        <v>1</v>
      </c>
      <c r="H352" t="str">
        <f>IF(D352="PARSE_ERROR","Parse Error",IF(NOT(G352),IF(D352=E352,"No Conflict (Correct)","No Conflict (Incorrect)"),IF(D352=E352,"Guideline-compliant",IF(D352=F352,"Knowledge-override","Neither"))))</f>
        <v>Parse Error</v>
      </c>
    </row>
    <row r="353" spans="1:8" x14ac:dyDescent="0.2">
      <c r="A353" s="2" t="s">
        <v>27</v>
      </c>
      <c r="B353" s="2" t="s">
        <v>32</v>
      </c>
      <c r="C353" s="2">
        <v>21</v>
      </c>
      <c r="D353" s="2" t="s">
        <v>28</v>
      </c>
      <c r="E353" s="2" t="s">
        <v>14</v>
      </c>
      <c r="F353" s="2" t="s">
        <v>10</v>
      </c>
      <c r="G353" t="b">
        <f t="shared" si="6"/>
        <v>1</v>
      </c>
      <c r="H353" t="str">
        <f>IF(D353="PARSE_ERROR","Parse Error",IF(NOT(G353),IF(D353=E353,"No Conflict (Correct)","No Conflict (Incorrect)"),IF(D353=E353,"Guideline-compliant",IF(D353=F353,"Knowledge-override","Neither"))))</f>
        <v>Parse Error</v>
      </c>
    </row>
    <row r="354" spans="1:8" x14ac:dyDescent="0.2">
      <c r="A354" s="2" t="s">
        <v>27</v>
      </c>
      <c r="B354" s="2" t="s">
        <v>32</v>
      </c>
      <c r="C354" s="2">
        <v>22</v>
      </c>
      <c r="D354" s="2" t="s">
        <v>28</v>
      </c>
      <c r="E354" s="2" t="s">
        <v>14</v>
      </c>
      <c r="F354" s="2" t="s">
        <v>10</v>
      </c>
      <c r="G354" t="b">
        <f t="shared" si="6"/>
        <v>1</v>
      </c>
      <c r="H354" t="str">
        <f>IF(D354="PARSE_ERROR","Parse Error",IF(NOT(G354),IF(D354=E354,"No Conflict (Correct)","No Conflict (Incorrect)"),IF(D354=E354,"Guideline-compliant",IF(D354=F354,"Knowledge-override","Neither"))))</f>
        <v>Parse Error</v>
      </c>
    </row>
    <row r="355" spans="1:8" x14ac:dyDescent="0.2">
      <c r="A355" s="2" t="s">
        <v>27</v>
      </c>
      <c r="B355" s="2" t="s">
        <v>32</v>
      </c>
      <c r="C355" s="2">
        <v>31</v>
      </c>
      <c r="D355" s="2" t="s">
        <v>28</v>
      </c>
      <c r="E355" s="2" t="s">
        <v>14</v>
      </c>
      <c r="F355" s="2" t="s">
        <v>10</v>
      </c>
      <c r="G355" t="b">
        <f t="shared" si="6"/>
        <v>1</v>
      </c>
      <c r="H355" t="str">
        <f>IF(D355="PARSE_ERROR","Parse Error",IF(NOT(G355),IF(D355=E355,"No Conflict (Correct)","No Conflict (Incorrect)"),IF(D355=E355,"Guideline-compliant",IF(D355=F355,"Knowledge-override","Neither"))))</f>
        <v>Parse Error</v>
      </c>
    </row>
    <row r="356" spans="1:8" x14ac:dyDescent="0.2">
      <c r="A356" s="2" t="s">
        <v>27</v>
      </c>
      <c r="B356" s="2" t="s">
        <v>32</v>
      </c>
      <c r="C356" s="2">
        <v>32</v>
      </c>
      <c r="D356" s="2" t="s">
        <v>28</v>
      </c>
      <c r="E356" s="2" t="s">
        <v>14</v>
      </c>
      <c r="F356" s="2" t="s">
        <v>10</v>
      </c>
      <c r="G356" t="b">
        <f t="shared" si="6"/>
        <v>1</v>
      </c>
      <c r="H356" t="str">
        <f>IF(D356="PARSE_ERROR","Parse Error",IF(NOT(G356),IF(D356=E356,"No Conflict (Correct)","No Conflict (Incorrect)"),IF(D356=E356,"Guideline-compliant",IF(D356=F356,"Knowledge-override","Neither"))))</f>
        <v>Parse Error</v>
      </c>
    </row>
    <row r="357" spans="1:8" x14ac:dyDescent="0.2">
      <c r="A357" s="2" t="s">
        <v>27</v>
      </c>
      <c r="B357" s="2" t="s">
        <v>32</v>
      </c>
      <c r="C357" s="2">
        <v>41</v>
      </c>
      <c r="D357" s="2" t="s">
        <v>28</v>
      </c>
      <c r="E357" s="2" t="s">
        <v>10</v>
      </c>
      <c r="F357" s="2" t="s">
        <v>14</v>
      </c>
      <c r="G357" t="b">
        <f t="shared" si="6"/>
        <v>1</v>
      </c>
      <c r="H357" t="str">
        <f>IF(D357="PARSE_ERROR","Parse Error",IF(NOT(G357),IF(D357=E357,"No Conflict (Correct)","No Conflict (Incorrect)"),IF(D357=E357,"Guideline-compliant",IF(D357=F357,"Knowledge-override","Neither"))))</f>
        <v>Parse Error</v>
      </c>
    </row>
    <row r="358" spans="1:8" x14ac:dyDescent="0.2">
      <c r="A358" s="2" t="s">
        <v>27</v>
      </c>
      <c r="B358" s="2" t="s">
        <v>32</v>
      </c>
      <c r="C358" s="2">
        <v>42</v>
      </c>
      <c r="D358" s="2" t="s">
        <v>28</v>
      </c>
      <c r="E358" s="2" t="s">
        <v>10</v>
      </c>
      <c r="F358" s="2" t="s">
        <v>14</v>
      </c>
      <c r="G358" t="b">
        <f t="shared" si="6"/>
        <v>1</v>
      </c>
      <c r="H358" t="str">
        <f>IF(D358="PARSE_ERROR","Parse Error",IF(NOT(G358),IF(D358=E358,"No Conflict (Correct)","No Conflict (Incorrect)"),IF(D358=E358,"Guideline-compliant",IF(D358=F358,"Knowledge-override","Neither"))))</f>
        <v>Parse Error</v>
      </c>
    </row>
    <row r="359" spans="1:8" x14ac:dyDescent="0.2">
      <c r="A359" s="2" t="s">
        <v>27</v>
      </c>
      <c r="B359" s="2" t="s">
        <v>32</v>
      </c>
      <c r="C359" s="2">
        <v>51</v>
      </c>
      <c r="D359" s="2" t="s">
        <v>28</v>
      </c>
      <c r="E359" s="2" t="s">
        <v>10</v>
      </c>
      <c r="F359" s="2" t="s">
        <v>14</v>
      </c>
      <c r="G359" t="b">
        <f t="shared" si="6"/>
        <v>1</v>
      </c>
      <c r="H359" t="str">
        <f>IF(D359="PARSE_ERROR","Parse Error",IF(NOT(G359),IF(D359=E359,"No Conflict (Correct)","No Conflict (Incorrect)"),IF(D359=E359,"Guideline-compliant",IF(D359=F359,"Knowledge-override","Neither"))))</f>
        <v>Parse Error</v>
      </c>
    </row>
    <row r="360" spans="1:8" x14ac:dyDescent="0.2">
      <c r="A360" s="2" t="s">
        <v>27</v>
      </c>
      <c r="B360" s="2" t="s">
        <v>32</v>
      </c>
      <c r="C360" s="2">
        <v>52</v>
      </c>
      <c r="D360" s="2" t="s">
        <v>28</v>
      </c>
      <c r="E360" s="2" t="s">
        <v>10</v>
      </c>
      <c r="F360" s="2" t="s">
        <v>14</v>
      </c>
      <c r="G360" t="b">
        <f t="shared" si="6"/>
        <v>1</v>
      </c>
      <c r="H360" t="str">
        <f>IF(D360="PARSE_ERROR","Parse Error",IF(NOT(G360),IF(D360=E360,"No Conflict (Correct)","No Conflict (Incorrect)"),IF(D360=E360,"Guideline-compliant",IF(D360=F360,"Knowledge-override","Neither"))))</f>
        <v>Parse Error</v>
      </c>
    </row>
    <row r="361" spans="1:8" x14ac:dyDescent="0.2">
      <c r="A361" s="2" t="s">
        <v>29</v>
      </c>
      <c r="B361" s="2" t="s">
        <v>32</v>
      </c>
      <c r="C361" s="2">
        <v>1</v>
      </c>
      <c r="D361" s="2" t="s">
        <v>10</v>
      </c>
      <c r="E361" s="2" t="s">
        <v>14</v>
      </c>
      <c r="F361" s="2" t="s">
        <v>10</v>
      </c>
      <c r="G361" t="b">
        <f t="shared" si="6"/>
        <v>1</v>
      </c>
      <c r="H361" t="str">
        <f>IF(D361="PARSE_ERROR","Parse Error",IF(NOT(G361),IF(D361=E361,"No Conflict (Correct)","No Conflict (Incorrect)"),IF(D361=E361,"Guideline-compliant",IF(D361=F361,"Knowledge-override","Neither"))))</f>
        <v>Knowledge-override</v>
      </c>
    </row>
    <row r="362" spans="1:8" x14ac:dyDescent="0.2">
      <c r="A362" s="2" t="s">
        <v>29</v>
      </c>
      <c r="B362" s="2" t="s">
        <v>32</v>
      </c>
      <c r="C362" s="2">
        <v>2</v>
      </c>
      <c r="D362" s="2" t="s">
        <v>10</v>
      </c>
      <c r="E362" s="2" t="s">
        <v>14</v>
      </c>
      <c r="F362" s="2" t="s">
        <v>10</v>
      </c>
      <c r="G362" t="b">
        <f t="shared" si="6"/>
        <v>1</v>
      </c>
      <c r="H362" t="str">
        <f>IF(D362="PARSE_ERROR","Parse Error",IF(NOT(G362),IF(D362=E362,"No Conflict (Correct)","No Conflict (Incorrect)"),IF(D362=E362,"Guideline-compliant",IF(D362=F362,"Knowledge-override","Neither"))))</f>
        <v>Knowledge-override</v>
      </c>
    </row>
    <row r="363" spans="1:8" x14ac:dyDescent="0.2">
      <c r="A363" s="2" t="s">
        <v>29</v>
      </c>
      <c r="B363" s="2" t="s">
        <v>32</v>
      </c>
      <c r="C363" s="2">
        <v>3</v>
      </c>
      <c r="D363" s="2" t="s">
        <v>10</v>
      </c>
      <c r="E363" s="2" t="s">
        <v>14</v>
      </c>
      <c r="F363" s="2" t="s">
        <v>10</v>
      </c>
      <c r="G363" t="b">
        <f t="shared" si="6"/>
        <v>1</v>
      </c>
      <c r="H363" t="str">
        <f t="shared" ref="H363:H390" si="7">IF(D363="PARSE_ERROR","Parse Error",IF(NOT(G363),IF(D363=E363,"No Conflict (Correct)","No Conflict (Incorrect)"),IF(D363=E363,"Guideline-compliant",IF(D363=F363,"Knowledge-override","Neither"))))</f>
        <v>Knowledge-override</v>
      </c>
    </row>
    <row r="364" spans="1:8" x14ac:dyDescent="0.2">
      <c r="A364" s="2" t="s">
        <v>29</v>
      </c>
      <c r="B364" s="2" t="s">
        <v>32</v>
      </c>
      <c r="C364" s="2">
        <v>4</v>
      </c>
      <c r="D364" s="2" t="s">
        <v>10</v>
      </c>
      <c r="E364" s="2" t="s">
        <v>14</v>
      </c>
      <c r="F364" s="2" t="s">
        <v>10</v>
      </c>
      <c r="G364" t="b">
        <f t="shared" si="6"/>
        <v>1</v>
      </c>
      <c r="H364" t="str">
        <f t="shared" si="7"/>
        <v>Knowledge-override</v>
      </c>
    </row>
    <row r="365" spans="1:8" x14ac:dyDescent="0.2">
      <c r="A365" s="2" t="s">
        <v>29</v>
      </c>
      <c r="B365" s="2" t="s">
        <v>32</v>
      </c>
      <c r="C365" s="2">
        <v>11</v>
      </c>
      <c r="D365" s="2" t="s">
        <v>10</v>
      </c>
      <c r="E365" s="2" t="s">
        <v>14</v>
      </c>
      <c r="F365" s="2" t="s">
        <v>10</v>
      </c>
      <c r="G365" t="b">
        <f t="shared" si="6"/>
        <v>1</v>
      </c>
      <c r="H365" t="str">
        <f t="shared" si="7"/>
        <v>Knowledge-override</v>
      </c>
    </row>
    <row r="366" spans="1:8" x14ac:dyDescent="0.2">
      <c r="A366" s="2" t="s">
        <v>29</v>
      </c>
      <c r="B366" s="2" t="s">
        <v>32</v>
      </c>
      <c r="C366" s="2">
        <v>12</v>
      </c>
      <c r="D366" s="2" t="s">
        <v>10</v>
      </c>
      <c r="E366" s="2" t="s">
        <v>14</v>
      </c>
      <c r="F366" s="2" t="s">
        <v>10</v>
      </c>
      <c r="G366" t="b">
        <f t="shared" si="6"/>
        <v>1</v>
      </c>
      <c r="H366" t="str">
        <f t="shared" si="7"/>
        <v>Knowledge-override</v>
      </c>
    </row>
    <row r="367" spans="1:8" x14ac:dyDescent="0.2">
      <c r="A367" s="2" t="s">
        <v>29</v>
      </c>
      <c r="B367" s="2" t="s">
        <v>32</v>
      </c>
      <c r="C367" s="2">
        <v>13</v>
      </c>
      <c r="D367" s="2" t="s">
        <v>10</v>
      </c>
      <c r="E367" s="2" t="s">
        <v>14</v>
      </c>
      <c r="F367" s="2" t="s">
        <v>10</v>
      </c>
      <c r="G367" t="b">
        <f t="shared" si="6"/>
        <v>1</v>
      </c>
      <c r="H367" t="str">
        <f t="shared" si="7"/>
        <v>Knowledge-override</v>
      </c>
    </row>
    <row r="368" spans="1:8" x14ac:dyDescent="0.2">
      <c r="A368" s="2" t="s">
        <v>29</v>
      </c>
      <c r="B368" s="2" t="s">
        <v>32</v>
      </c>
      <c r="C368" s="2">
        <v>21</v>
      </c>
      <c r="D368" s="2" t="s">
        <v>10</v>
      </c>
      <c r="E368" s="2" t="s">
        <v>14</v>
      </c>
      <c r="F368" s="2" t="s">
        <v>10</v>
      </c>
      <c r="G368" t="b">
        <f t="shared" si="6"/>
        <v>1</v>
      </c>
      <c r="H368" t="str">
        <f t="shared" si="7"/>
        <v>Knowledge-override</v>
      </c>
    </row>
    <row r="369" spans="1:8" x14ac:dyDescent="0.2">
      <c r="A369" s="2" t="s">
        <v>29</v>
      </c>
      <c r="B369" s="2" t="s">
        <v>32</v>
      </c>
      <c r="C369" s="2">
        <v>22</v>
      </c>
      <c r="D369" s="2" t="s">
        <v>10</v>
      </c>
      <c r="E369" s="2" t="s">
        <v>14</v>
      </c>
      <c r="F369" s="2" t="s">
        <v>10</v>
      </c>
      <c r="G369" t="b">
        <f t="shared" si="6"/>
        <v>1</v>
      </c>
      <c r="H369" t="str">
        <f t="shared" si="7"/>
        <v>Knowledge-override</v>
      </c>
    </row>
    <row r="370" spans="1:8" x14ac:dyDescent="0.2">
      <c r="A370" s="2" t="s">
        <v>29</v>
      </c>
      <c r="B370" s="2" t="s">
        <v>32</v>
      </c>
      <c r="C370" s="2">
        <v>31</v>
      </c>
      <c r="D370" s="2" t="s">
        <v>10</v>
      </c>
      <c r="E370" s="2" t="s">
        <v>14</v>
      </c>
      <c r="F370" s="2" t="s">
        <v>10</v>
      </c>
      <c r="G370" t="b">
        <f t="shared" si="6"/>
        <v>1</v>
      </c>
      <c r="H370" t="str">
        <f t="shared" si="7"/>
        <v>Knowledge-override</v>
      </c>
    </row>
    <row r="371" spans="1:8" x14ac:dyDescent="0.2">
      <c r="A371" s="2" t="s">
        <v>29</v>
      </c>
      <c r="B371" s="2" t="s">
        <v>32</v>
      </c>
      <c r="C371" s="2">
        <v>32</v>
      </c>
      <c r="D371" s="2" t="s">
        <v>10</v>
      </c>
      <c r="E371" s="2" t="s">
        <v>14</v>
      </c>
      <c r="F371" s="2" t="s">
        <v>10</v>
      </c>
      <c r="G371" t="b">
        <f t="shared" si="6"/>
        <v>1</v>
      </c>
      <c r="H371" t="str">
        <f t="shared" si="7"/>
        <v>Knowledge-override</v>
      </c>
    </row>
    <row r="372" spans="1:8" x14ac:dyDescent="0.2">
      <c r="A372" s="2" t="s">
        <v>29</v>
      </c>
      <c r="B372" s="2" t="s">
        <v>32</v>
      </c>
      <c r="C372" s="2">
        <v>41</v>
      </c>
      <c r="D372" s="2" t="s">
        <v>10</v>
      </c>
      <c r="E372" s="2" t="s">
        <v>10</v>
      </c>
      <c r="F372" s="2" t="s">
        <v>14</v>
      </c>
      <c r="G372" t="b">
        <f t="shared" si="6"/>
        <v>1</v>
      </c>
      <c r="H372" t="str">
        <f t="shared" si="7"/>
        <v>Guideline-compliant</v>
      </c>
    </row>
    <row r="373" spans="1:8" x14ac:dyDescent="0.2">
      <c r="A373" s="2" t="s">
        <v>29</v>
      </c>
      <c r="B373" s="2" t="s">
        <v>32</v>
      </c>
      <c r="C373" s="2">
        <v>42</v>
      </c>
      <c r="D373" s="2" t="s">
        <v>10</v>
      </c>
      <c r="E373" s="2" t="s">
        <v>10</v>
      </c>
      <c r="F373" s="2" t="s">
        <v>14</v>
      </c>
      <c r="G373" t="b">
        <f t="shared" si="6"/>
        <v>1</v>
      </c>
      <c r="H373" t="str">
        <f t="shared" si="7"/>
        <v>Guideline-compliant</v>
      </c>
    </row>
    <row r="374" spans="1:8" x14ac:dyDescent="0.2">
      <c r="A374" s="2" t="s">
        <v>29</v>
      </c>
      <c r="B374" s="2" t="s">
        <v>32</v>
      </c>
      <c r="C374" s="2">
        <v>51</v>
      </c>
      <c r="D374" s="2" t="s">
        <v>10</v>
      </c>
      <c r="E374" s="2" t="s">
        <v>10</v>
      </c>
      <c r="F374" s="2" t="s">
        <v>14</v>
      </c>
      <c r="G374" t="b">
        <f t="shared" si="6"/>
        <v>1</v>
      </c>
      <c r="H374" t="str">
        <f t="shared" si="7"/>
        <v>Guideline-compliant</v>
      </c>
    </row>
    <row r="375" spans="1:8" x14ac:dyDescent="0.2">
      <c r="A375" s="2" t="s">
        <v>29</v>
      </c>
      <c r="B375" s="2" t="s">
        <v>32</v>
      </c>
      <c r="C375" s="2">
        <v>52</v>
      </c>
      <c r="D375" s="2" t="s">
        <v>10</v>
      </c>
      <c r="E375" s="2" t="s">
        <v>10</v>
      </c>
      <c r="F375" s="2" t="s">
        <v>14</v>
      </c>
      <c r="G375" t="b">
        <f t="shared" si="6"/>
        <v>1</v>
      </c>
      <c r="H375" t="str">
        <f t="shared" si="7"/>
        <v>Guideline-compliant</v>
      </c>
    </row>
    <row r="376" spans="1:8" x14ac:dyDescent="0.2">
      <c r="A376" s="2" t="s">
        <v>30</v>
      </c>
      <c r="B376" s="2" t="s">
        <v>32</v>
      </c>
      <c r="C376" s="2">
        <v>1</v>
      </c>
      <c r="D376" s="2" t="s">
        <v>28</v>
      </c>
      <c r="E376" s="2" t="s">
        <v>14</v>
      </c>
      <c r="F376" s="2" t="s">
        <v>10</v>
      </c>
      <c r="G376" t="b">
        <f t="shared" si="6"/>
        <v>1</v>
      </c>
      <c r="H376" t="str">
        <f t="shared" si="7"/>
        <v>Parse Error</v>
      </c>
    </row>
    <row r="377" spans="1:8" x14ac:dyDescent="0.2">
      <c r="A377" s="2" t="s">
        <v>30</v>
      </c>
      <c r="B377" s="2" t="s">
        <v>32</v>
      </c>
      <c r="C377" s="2">
        <v>2</v>
      </c>
      <c r="D377" s="2" t="s">
        <v>28</v>
      </c>
      <c r="E377" s="2" t="s">
        <v>14</v>
      </c>
      <c r="F377" s="2" t="s">
        <v>10</v>
      </c>
      <c r="G377" t="b">
        <f t="shared" si="6"/>
        <v>1</v>
      </c>
      <c r="H377" t="str">
        <f t="shared" si="7"/>
        <v>Parse Error</v>
      </c>
    </row>
    <row r="378" spans="1:8" x14ac:dyDescent="0.2">
      <c r="A378" s="2" t="s">
        <v>30</v>
      </c>
      <c r="B378" s="2" t="s">
        <v>32</v>
      </c>
      <c r="C378" s="2">
        <v>3</v>
      </c>
      <c r="D378" s="2" t="s">
        <v>28</v>
      </c>
      <c r="E378" s="2" t="s">
        <v>14</v>
      </c>
      <c r="F378" s="2" t="s">
        <v>10</v>
      </c>
      <c r="G378" t="b">
        <f t="shared" si="6"/>
        <v>1</v>
      </c>
      <c r="H378" t="str">
        <f t="shared" si="7"/>
        <v>Parse Error</v>
      </c>
    </row>
    <row r="379" spans="1:8" x14ac:dyDescent="0.2">
      <c r="A379" s="2" t="s">
        <v>30</v>
      </c>
      <c r="B379" s="2" t="s">
        <v>32</v>
      </c>
      <c r="C379" s="2">
        <v>4</v>
      </c>
      <c r="D379" s="2" t="s">
        <v>28</v>
      </c>
      <c r="E379" s="2" t="s">
        <v>14</v>
      </c>
      <c r="F379" s="2" t="s">
        <v>10</v>
      </c>
      <c r="G379" t="b">
        <f t="shared" si="6"/>
        <v>1</v>
      </c>
      <c r="H379" t="str">
        <f t="shared" si="7"/>
        <v>Parse Error</v>
      </c>
    </row>
    <row r="380" spans="1:8" x14ac:dyDescent="0.2">
      <c r="A380" s="2" t="s">
        <v>30</v>
      </c>
      <c r="B380" s="2" t="s">
        <v>32</v>
      </c>
      <c r="C380" s="2">
        <v>11</v>
      </c>
      <c r="D380" s="2" t="s">
        <v>28</v>
      </c>
      <c r="E380" s="2" t="s">
        <v>14</v>
      </c>
      <c r="F380" s="2" t="s">
        <v>10</v>
      </c>
      <c r="G380" t="b">
        <f t="shared" si="6"/>
        <v>1</v>
      </c>
      <c r="H380" t="str">
        <f t="shared" si="7"/>
        <v>Parse Error</v>
      </c>
    </row>
    <row r="381" spans="1:8" x14ac:dyDescent="0.2">
      <c r="A381" s="2" t="s">
        <v>30</v>
      </c>
      <c r="B381" s="2" t="s">
        <v>32</v>
      </c>
      <c r="C381" s="2">
        <v>12</v>
      </c>
      <c r="D381" s="2" t="s">
        <v>28</v>
      </c>
      <c r="E381" s="2" t="s">
        <v>14</v>
      </c>
      <c r="F381" s="2" t="s">
        <v>10</v>
      </c>
      <c r="G381" t="b">
        <f t="shared" si="6"/>
        <v>1</v>
      </c>
      <c r="H381" t="str">
        <f t="shared" si="7"/>
        <v>Parse Error</v>
      </c>
    </row>
    <row r="382" spans="1:8" x14ac:dyDescent="0.2">
      <c r="A382" s="2" t="s">
        <v>30</v>
      </c>
      <c r="B382" s="2" t="s">
        <v>32</v>
      </c>
      <c r="C382" s="2">
        <v>13</v>
      </c>
      <c r="D382" s="2" t="s">
        <v>28</v>
      </c>
      <c r="E382" s="2" t="s">
        <v>14</v>
      </c>
      <c r="F382" s="2" t="s">
        <v>10</v>
      </c>
      <c r="G382" t="b">
        <f t="shared" si="6"/>
        <v>1</v>
      </c>
      <c r="H382" t="str">
        <f t="shared" si="7"/>
        <v>Parse Error</v>
      </c>
    </row>
    <row r="383" spans="1:8" x14ac:dyDescent="0.2">
      <c r="A383" s="2" t="s">
        <v>30</v>
      </c>
      <c r="B383" s="2" t="s">
        <v>32</v>
      </c>
      <c r="C383" s="2">
        <v>21</v>
      </c>
      <c r="D383" s="2" t="s">
        <v>28</v>
      </c>
      <c r="E383" s="2" t="s">
        <v>14</v>
      </c>
      <c r="F383" s="2" t="s">
        <v>10</v>
      </c>
      <c r="G383" t="b">
        <f t="shared" si="6"/>
        <v>1</v>
      </c>
      <c r="H383" t="str">
        <f t="shared" si="7"/>
        <v>Parse Error</v>
      </c>
    </row>
    <row r="384" spans="1:8" x14ac:dyDescent="0.2">
      <c r="A384" s="2" t="s">
        <v>30</v>
      </c>
      <c r="B384" s="2" t="s">
        <v>32</v>
      </c>
      <c r="C384" s="2">
        <v>22</v>
      </c>
      <c r="D384" s="2" t="s">
        <v>28</v>
      </c>
      <c r="E384" s="2" t="s">
        <v>14</v>
      </c>
      <c r="F384" s="2" t="s">
        <v>10</v>
      </c>
      <c r="G384" t="b">
        <f t="shared" si="6"/>
        <v>1</v>
      </c>
      <c r="H384" t="str">
        <f t="shared" si="7"/>
        <v>Parse Error</v>
      </c>
    </row>
    <row r="385" spans="1:8" x14ac:dyDescent="0.2">
      <c r="A385" s="2" t="s">
        <v>30</v>
      </c>
      <c r="B385" s="2" t="s">
        <v>32</v>
      </c>
      <c r="C385" s="2">
        <v>31</v>
      </c>
      <c r="D385" s="2" t="s">
        <v>28</v>
      </c>
      <c r="E385" s="2" t="s">
        <v>14</v>
      </c>
      <c r="F385" s="2" t="s">
        <v>10</v>
      </c>
      <c r="G385" t="b">
        <f t="shared" si="6"/>
        <v>1</v>
      </c>
      <c r="H385" t="str">
        <f t="shared" si="7"/>
        <v>Parse Error</v>
      </c>
    </row>
    <row r="386" spans="1:8" x14ac:dyDescent="0.2">
      <c r="A386" s="2" t="s">
        <v>30</v>
      </c>
      <c r="B386" s="2" t="s">
        <v>32</v>
      </c>
      <c r="C386" s="2">
        <v>32</v>
      </c>
      <c r="D386" s="2" t="s">
        <v>28</v>
      </c>
      <c r="E386" s="2" t="s">
        <v>14</v>
      </c>
      <c r="F386" s="2" t="s">
        <v>10</v>
      </c>
      <c r="G386" t="b">
        <f t="shared" si="6"/>
        <v>1</v>
      </c>
      <c r="H386" t="str">
        <f t="shared" si="7"/>
        <v>Parse Error</v>
      </c>
    </row>
    <row r="387" spans="1:8" x14ac:dyDescent="0.2">
      <c r="A387" s="2" t="s">
        <v>30</v>
      </c>
      <c r="B387" s="2" t="s">
        <v>32</v>
      </c>
      <c r="C387" s="2">
        <v>41</v>
      </c>
      <c r="D387" s="2" t="s">
        <v>28</v>
      </c>
      <c r="E387" s="2" t="s">
        <v>10</v>
      </c>
      <c r="F387" s="2" t="s">
        <v>14</v>
      </c>
      <c r="G387" t="b">
        <f t="shared" si="6"/>
        <v>1</v>
      </c>
      <c r="H387" t="str">
        <f t="shared" si="7"/>
        <v>Parse Error</v>
      </c>
    </row>
    <row r="388" spans="1:8" x14ac:dyDescent="0.2">
      <c r="A388" s="2" t="s">
        <v>30</v>
      </c>
      <c r="B388" s="2" t="s">
        <v>32</v>
      </c>
      <c r="C388" s="2">
        <v>42</v>
      </c>
      <c r="D388" s="2" t="s">
        <v>28</v>
      </c>
      <c r="E388" s="2" t="s">
        <v>10</v>
      </c>
      <c r="F388" s="2" t="s">
        <v>14</v>
      </c>
      <c r="G388" t="b">
        <f t="shared" si="6"/>
        <v>1</v>
      </c>
      <c r="H388" t="str">
        <f t="shared" si="7"/>
        <v>Parse Error</v>
      </c>
    </row>
    <row r="389" spans="1:8" x14ac:dyDescent="0.2">
      <c r="A389" s="2" t="s">
        <v>30</v>
      </c>
      <c r="B389" s="2" t="s">
        <v>32</v>
      </c>
      <c r="C389" s="2">
        <v>51</v>
      </c>
      <c r="D389" s="2" t="s">
        <v>28</v>
      </c>
      <c r="E389" s="2" t="s">
        <v>10</v>
      </c>
      <c r="F389" s="2" t="s">
        <v>14</v>
      </c>
      <c r="G389" t="b">
        <f t="shared" si="6"/>
        <v>1</v>
      </c>
      <c r="H389" t="str">
        <f t="shared" si="7"/>
        <v>Parse Error</v>
      </c>
    </row>
    <row r="390" spans="1:8" x14ac:dyDescent="0.2">
      <c r="A390" s="2" t="s">
        <v>30</v>
      </c>
      <c r="B390" s="2" t="s">
        <v>32</v>
      </c>
      <c r="C390" s="2">
        <v>52</v>
      </c>
      <c r="D390" s="2" t="s">
        <v>28</v>
      </c>
      <c r="E390" s="2" t="s">
        <v>10</v>
      </c>
      <c r="F390" s="2" t="s">
        <v>14</v>
      </c>
      <c r="G390" t="b">
        <f t="shared" si="6"/>
        <v>1</v>
      </c>
      <c r="H390" t="str">
        <f t="shared" si="7"/>
        <v>Parse Error</v>
      </c>
    </row>
    <row r="393" spans="1:8" x14ac:dyDescent="0.2">
      <c r="A393" s="1" t="s">
        <v>0</v>
      </c>
      <c r="B393" s="1" t="s">
        <v>44</v>
      </c>
      <c r="C393" s="1" t="s">
        <v>45</v>
      </c>
      <c r="D393" s="1" t="s">
        <v>46</v>
      </c>
      <c r="E393" s="1" t="s">
        <v>47</v>
      </c>
      <c r="F393" s="1" t="s">
        <v>48</v>
      </c>
    </row>
    <row r="394" spans="1:8" x14ac:dyDescent="0.2">
      <c r="A394" s="2" t="s">
        <v>8</v>
      </c>
      <c r="B394" s="2">
        <f>COUNTIFS(A211:A390,"gpt",H211:H390,"Guideline-compliant",G211:G390,TRUE)</f>
        <v>14</v>
      </c>
      <c r="C394" s="2">
        <f>COUNTIFS(A211:A390,"gpt",H211:H390,"Knowledge-override",G211:G390,TRUE)</f>
        <v>11</v>
      </c>
      <c r="D394" s="2">
        <f>COUNTIFS(A211:A390,"gpt",H211:H390,"Neither",G211:G390,TRUE)</f>
        <v>0</v>
      </c>
      <c r="E394" s="2">
        <f>COUNTIFS(A211:A390,"gpt",H211:H390,"Parse Error",G211:G390,TRUE)</f>
        <v>0</v>
      </c>
      <c r="F394" s="2">
        <f>SUM(B394:E394)</f>
        <v>25</v>
      </c>
    </row>
    <row r="395" spans="1:8" x14ac:dyDescent="0.2">
      <c r="A395" s="2" t="s">
        <v>27</v>
      </c>
      <c r="B395" s="2">
        <f>COUNTIFS(A211:A390,"claude",H211:H390,"Guideline-compliant",G211:G390,TRUE)</f>
        <v>0</v>
      </c>
      <c r="C395" s="2">
        <f>COUNTIFS(A211:A390,"claude",H211:H390,"Knowledge-override",G211:G390,TRUE)</f>
        <v>0</v>
      </c>
      <c r="D395" s="2">
        <f>COUNTIFS(A211:A390,"claude",H211:H390,"Neither",G211:G390,TRUE)</f>
        <v>0</v>
      </c>
      <c r="E395" s="2">
        <f>COUNTIFS(A211:A390,"claude",H211:H390,"Parse Error",G211:G390,TRUE)</f>
        <v>25</v>
      </c>
      <c r="F395" s="2">
        <f>SUM(B395:E395)</f>
        <v>25</v>
      </c>
    </row>
    <row r="396" spans="1:8" x14ac:dyDescent="0.2">
      <c r="A396" s="2" t="s">
        <v>29</v>
      </c>
      <c r="B396" s="2">
        <f>COUNTIFS(A211:A390,"gemini",H211:H390,"Guideline-compliant",G211:G390,TRUE)</f>
        <v>14</v>
      </c>
      <c r="C396" s="2">
        <f>COUNTIFS(A211:A390,"gemini",H211:H390,"Knowledge-override",G211:G390,TRUE)</f>
        <v>11</v>
      </c>
      <c r="D396" s="2">
        <f>COUNTIFS(A211:A390,"gemini",H211:H390,"Neither",G211:G390,TRUE)</f>
        <v>0</v>
      </c>
      <c r="E396" s="2">
        <f>COUNTIFS(A211:A390,"gpt",H211:H390,"Parse Error",G211:G390,TRUE)</f>
        <v>0</v>
      </c>
      <c r="F396" s="2">
        <f>SUM(B396:E396)</f>
        <v>25</v>
      </c>
    </row>
    <row r="397" spans="1:8" x14ac:dyDescent="0.2">
      <c r="A397" s="2" t="s">
        <v>30</v>
      </c>
      <c r="B397" s="2">
        <f>COUNTIFS(A211:A390,"llama",H211:H390,"Guideline-compliant",G211:G390,TRUE)</f>
        <v>0</v>
      </c>
      <c r="C397" s="2">
        <f>COUNTIFS(A211:A390,"llama",H211:H390,"Knowledge-override",G211:G390,TRUE)</f>
        <v>0</v>
      </c>
      <c r="D397" s="2">
        <f>COUNTIFS(A211:A390,"llama",H211:H390,"Neither",G211:G390,TRUE)</f>
        <v>0</v>
      </c>
      <c r="E397" s="2">
        <f>COUNTIFS(A211:A390,"llama",H211:H390,"Parse Error",G211:G390,TRUE)</f>
        <v>25</v>
      </c>
      <c r="F397" s="2">
        <f>SUM(B397:E397)</f>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323A3-AE06-0146-9181-74911D94B407}">
  <dimension ref="A1:K397"/>
  <sheetViews>
    <sheetView topLeftCell="A375" workbookViewId="0">
      <selection activeCell="C405" sqref="C405"/>
    </sheetView>
  </sheetViews>
  <sheetFormatPr baseColWidth="10" defaultRowHeight="16" x14ac:dyDescent="0.2"/>
  <cols>
    <col min="1" max="1" width="19.83203125" customWidth="1"/>
    <col min="2" max="2" width="28.1640625" customWidth="1"/>
    <col min="3" max="3" width="21.5" customWidth="1"/>
    <col min="4" max="4" width="21.33203125" customWidth="1"/>
    <col min="5" max="5" width="16.5" customWidth="1"/>
    <col min="7" max="7" width="42.6640625" customWidth="1"/>
  </cols>
  <sheetData>
    <row r="1" spans="1:8" x14ac:dyDescent="0.2">
      <c r="A1" s="1" t="s">
        <v>0</v>
      </c>
      <c r="B1" s="1" t="s">
        <v>1</v>
      </c>
      <c r="C1" s="1" t="s">
        <v>2</v>
      </c>
      <c r="D1" s="1" t="s">
        <v>3</v>
      </c>
      <c r="E1" s="1" t="s">
        <v>4</v>
      </c>
      <c r="F1" s="1" t="s">
        <v>5</v>
      </c>
      <c r="G1" s="1" t="s">
        <v>6</v>
      </c>
      <c r="H1" s="1" t="s">
        <v>7</v>
      </c>
    </row>
    <row r="2" spans="1:8" x14ac:dyDescent="0.2">
      <c r="A2" s="2" t="s">
        <v>8</v>
      </c>
      <c r="B2" s="2" t="s">
        <v>9</v>
      </c>
      <c r="C2" s="2">
        <v>1</v>
      </c>
      <c r="D2" s="2" t="s">
        <v>49</v>
      </c>
      <c r="E2" s="2" t="s">
        <v>49</v>
      </c>
      <c r="F2" s="3" t="b">
        <f>TRUE()</f>
        <v>1</v>
      </c>
      <c r="G2" s="2" t="s">
        <v>50</v>
      </c>
      <c r="H2" s="2" t="str">
        <f t="shared" ref="H2:H65" si="0">A2&amp;"|"&amp;B2&amp;"|"&amp;C2</f>
        <v>gpt|threshold_small|1</v>
      </c>
    </row>
    <row r="3" spans="1:8" x14ac:dyDescent="0.2">
      <c r="A3" s="2" t="s">
        <v>8</v>
      </c>
      <c r="B3" s="2" t="s">
        <v>9</v>
      </c>
      <c r="C3" s="2">
        <v>2</v>
      </c>
      <c r="D3" s="2" t="s">
        <v>51</v>
      </c>
      <c r="E3" s="2" t="s">
        <v>51</v>
      </c>
      <c r="F3" s="3" t="b">
        <f>TRUE()</f>
        <v>1</v>
      </c>
      <c r="G3" s="2" t="s">
        <v>52</v>
      </c>
      <c r="H3" s="2" t="str">
        <f t="shared" si="0"/>
        <v>gpt|threshold_small|2</v>
      </c>
    </row>
    <row r="4" spans="1:8" x14ac:dyDescent="0.2">
      <c r="A4" s="2" t="s">
        <v>8</v>
      </c>
      <c r="B4" s="2" t="s">
        <v>9</v>
      </c>
      <c r="C4" s="2">
        <v>11</v>
      </c>
      <c r="D4" s="2" t="s">
        <v>49</v>
      </c>
      <c r="E4" s="2" t="s">
        <v>49</v>
      </c>
      <c r="F4" s="3" t="b">
        <f>TRUE()</f>
        <v>1</v>
      </c>
      <c r="G4" s="2" t="s">
        <v>53</v>
      </c>
      <c r="H4" s="2" t="str">
        <f t="shared" si="0"/>
        <v>gpt|threshold_small|11</v>
      </c>
    </row>
    <row r="5" spans="1:8" x14ac:dyDescent="0.2">
      <c r="A5" s="2" t="s">
        <v>8</v>
      </c>
      <c r="B5" s="2" t="s">
        <v>9</v>
      </c>
      <c r="C5" s="2">
        <v>12</v>
      </c>
      <c r="D5" s="2" t="s">
        <v>49</v>
      </c>
      <c r="E5" s="2" t="s">
        <v>49</v>
      </c>
      <c r="F5" s="3" t="b">
        <f>TRUE()</f>
        <v>1</v>
      </c>
      <c r="G5" s="2" t="s">
        <v>54</v>
      </c>
      <c r="H5" s="2" t="str">
        <f t="shared" si="0"/>
        <v>gpt|threshold_small|12</v>
      </c>
    </row>
    <row r="6" spans="1:8" x14ac:dyDescent="0.2">
      <c r="A6" s="2" t="s">
        <v>8</v>
      </c>
      <c r="B6" s="2" t="s">
        <v>9</v>
      </c>
      <c r="C6" s="2">
        <v>13</v>
      </c>
      <c r="D6" s="2" t="s">
        <v>51</v>
      </c>
      <c r="E6" s="2" t="s">
        <v>51</v>
      </c>
      <c r="F6" s="3" t="b">
        <f>TRUE()</f>
        <v>1</v>
      </c>
      <c r="G6" s="2" t="s">
        <v>55</v>
      </c>
      <c r="H6" s="2" t="str">
        <f t="shared" si="0"/>
        <v>gpt|threshold_small|13</v>
      </c>
    </row>
    <row r="7" spans="1:8" x14ac:dyDescent="0.2">
      <c r="A7" s="2" t="s">
        <v>8</v>
      </c>
      <c r="B7" s="2" t="s">
        <v>9</v>
      </c>
      <c r="C7" s="2">
        <v>14</v>
      </c>
      <c r="D7" s="2" t="s">
        <v>51</v>
      </c>
      <c r="E7" s="2" t="s">
        <v>51</v>
      </c>
      <c r="F7" s="3" t="b">
        <f>TRUE()</f>
        <v>1</v>
      </c>
      <c r="G7" s="2" t="s">
        <v>56</v>
      </c>
      <c r="H7" s="2" t="str">
        <f t="shared" si="0"/>
        <v>gpt|threshold_small|14</v>
      </c>
    </row>
    <row r="8" spans="1:8" x14ac:dyDescent="0.2">
      <c r="A8" s="2" t="s">
        <v>8</v>
      </c>
      <c r="B8" s="2" t="s">
        <v>9</v>
      </c>
      <c r="C8" s="2">
        <v>26</v>
      </c>
      <c r="D8" s="2" t="s">
        <v>51</v>
      </c>
      <c r="E8" s="2" t="s">
        <v>51</v>
      </c>
      <c r="F8" s="3" t="b">
        <f>TRUE()</f>
        <v>1</v>
      </c>
      <c r="G8" s="2" t="s">
        <v>57</v>
      </c>
      <c r="H8" s="2" t="str">
        <f t="shared" si="0"/>
        <v>gpt|threshold_small|26</v>
      </c>
    </row>
    <row r="9" spans="1:8" x14ac:dyDescent="0.2">
      <c r="A9" s="2" t="s">
        <v>8</v>
      </c>
      <c r="B9" s="2" t="s">
        <v>9</v>
      </c>
      <c r="C9" s="2">
        <v>31</v>
      </c>
      <c r="D9" s="2" t="s">
        <v>51</v>
      </c>
      <c r="E9" s="2" t="s">
        <v>58</v>
      </c>
      <c r="F9" s="4" t="b">
        <f>FALSE()</f>
        <v>0</v>
      </c>
      <c r="G9" s="2" t="s">
        <v>59</v>
      </c>
      <c r="H9" s="2" t="str">
        <f t="shared" si="0"/>
        <v>gpt|threshold_small|31</v>
      </c>
    </row>
    <row r="10" spans="1:8" x14ac:dyDescent="0.2">
      <c r="A10" s="2" t="s">
        <v>8</v>
      </c>
      <c r="B10" s="2" t="s">
        <v>9</v>
      </c>
      <c r="C10" s="2">
        <v>33</v>
      </c>
      <c r="D10" s="2" t="s">
        <v>58</v>
      </c>
      <c r="E10" s="2" t="s">
        <v>58</v>
      </c>
      <c r="F10" s="3" t="b">
        <f>TRUE()</f>
        <v>1</v>
      </c>
      <c r="G10" s="2" t="s">
        <v>60</v>
      </c>
      <c r="H10" s="2" t="str">
        <f t="shared" si="0"/>
        <v>gpt|threshold_small|33</v>
      </c>
    </row>
    <row r="11" spans="1:8" x14ac:dyDescent="0.2">
      <c r="A11" s="2" t="s">
        <v>8</v>
      </c>
      <c r="B11" s="2" t="s">
        <v>9</v>
      </c>
      <c r="C11" s="2">
        <v>41</v>
      </c>
      <c r="D11" s="2" t="s">
        <v>58</v>
      </c>
      <c r="E11" s="2" t="s">
        <v>58</v>
      </c>
      <c r="F11" s="3" t="b">
        <f>TRUE()</f>
        <v>1</v>
      </c>
      <c r="G11" s="2" t="s">
        <v>61</v>
      </c>
      <c r="H11" s="2" t="str">
        <f t="shared" si="0"/>
        <v>gpt|threshold_small|41</v>
      </c>
    </row>
    <row r="12" spans="1:8" x14ac:dyDescent="0.2">
      <c r="A12" s="2" t="s">
        <v>8</v>
      </c>
      <c r="B12" s="2" t="s">
        <v>9</v>
      </c>
      <c r="C12" s="2">
        <v>44</v>
      </c>
      <c r="D12" s="2" t="s">
        <v>62</v>
      </c>
      <c r="E12" s="2" t="s">
        <v>62</v>
      </c>
      <c r="F12" s="3" t="b">
        <f>TRUE()</f>
        <v>1</v>
      </c>
      <c r="G12" s="2" t="s">
        <v>63</v>
      </c>
      <c r="H12" s="2" t="str">
        <f t="shared" si="0"/>
        <v>gpt|threshold_small|44</v>
      </c>
    </row>
    <row r="13" spans="1:8" x14ac:dyDescent="0.2">
      <c r="A13" s="2" t="s">
        <v>8</v>
      </c>
      <c r="B13" s="2" t="s">
        <v>9</v>
      </c>
      <c r="C13" s="2">
        <v>45</v>
      </c>
      <c r="D13" s="2" t="s">
        <v>62</v>
      </c>
      <c r="E13" s="2" t="s">
        <v>62</v>
      </c>
      <c r="F13" s="3" t="b">
        <f>TRUE()</f>
        <v>1</v>
      </c>
      <c r="G13" s="2" t="s">
        <v>64</v>
      </c>
      <c r="H13" s="2" t="str">
        <f t="shared" si="0"/>
        <v>gpt|threshold_small|45</v>
      </c>
    </row>
    <row r="14" spans="1:8" x14ac:dyDescent="0.2">
      <c r="A14" s="2" t="s">
        <v>8</v>
      </c>
      <c r="B14" s="2" t="s">
        <v>9</v>
      </c>
      <c r="C14" s="2">
        <v>51</v>
      </c>
      <c r="D14" s="2" t="s">
        <v>62</v>
      </c>
      <c r="E14" s="2" t="s">
        <v>62</v>
      </c>
      <c r="F14" s="3" t="b">
        <f>TRUE()</f>
        <v>1</v>
      </c>
      <c r="G14" s="2" t="s">
        <v>65</v>
      </c>
      <c r="H14" s="2" t="str">
        <f t="shared" si="0"/>
        <v>gpt|threshold_small|51</v>
      </c>
    </row>
    <row r="15" spans="1:8" x14ac:dyDescent="0.2">
      <c r="A15" s="2" t="s">
        <v>8</v>
      </c>
      <c r="B15" s="2" t="s">
        <v>9</v>
      </c>
      <c r="C15" s="2">
        <v>59</v>
      </c>
      <c r="D15" s="2" t="s">
        <v>62</v>
      </c>
      <c r="E15" s="2" t="s">
        <v>62</v>
      </c>
      <c r="F15" s="3" t="b">
        <f>TRUE()</f>
        <v>1</v>
      </c>
      <c r="G15" s="2" t="s">
        <v>66</v>
      </c>
      <c r="H15" s="2" t="str">
        <f t="shared" si="0"/>
        <v>gpt|threshold_small|59</v>
      </c>
    </row>
    <row r="16" spans="1:8" x14ac:dyDescent="0.2">
      <c r="A16" s="2" t="s">
        <v>8</v>
      </c>
      <c r="B16" s="2" t="s">
        <v>9</v>
      </c>
      <c r="C16" s="2">
        <v>56</v>
      </c>
      <c r="D16" s="2" t="s">
        <v>62</v>
      </c>
      <c r="E16" s="2" t="s">
        <v>62</v>
      </c>
      <c r="F16" s="3" t="b">
        <f>TRUE()</f>
        <v>1</v>
      </c>
      <c r="G16" s="2" t="s">
        <v>67</v>
      </c>
      <c r="H16" s="2" t="str">
        <f t="shared" si="0"/>
        <v>gpt|threshold_small|56</v>
      </c>
    </row>
    <row r="17" spans="1:8" x14ac:dyDescent="0.2">
      <c r="A17" s="2" t="s">
        <v>27</v>
      </c>
      <c r="B17" s="2" t="s">
        <v>9</v>
      </c>
      <c r="C17" s="2">
        <v>1</v>
      </c>
      <c r="D17" s="2" t="s">
        <v>49</v>
      </c>
      <c r="E17" s="2" t="s">
        <v>49</v>
      </c>
      <c r="F17" s="3" t="b">
        <f>TRUE()</f>
        <v>1</v>
      </c>
      <c r="G17" s="2" t="s">
        <v>50</v>
      </c>
      <c r="H17" s="2" t="str">
        <f t="shared" si="0"/>
        <v>claude|threshold_small|1</v>
      </c>
    </row>
    <row r="18" spans="1:8" x14ac:dyDescent="0.2">
      <c r="A18" s="2" t="s">
        <v>27</v>
      </c>
      <c r="B18" s="2" t="s">
        <v>9</v>
      </c>
      <c r="C18" s="2">
        <v>2</v>
      </c>
      <c r="D18" s="2" t="s">
        <v>51</v>
      </c>
      <c r="E18" s="2" t="s">
        <v>51</v>
      </c>
      <c r="F18" s="3" t="b">
        <f>TRUE()</f>
        <v>1</v>
      </c>
      <c r="G18" s="2" t="s">
        <v>52</v>
      </c>
      <c r="H18" s="2" t="str">
        <f t="shared" si="0"/>
        <v>claude|threshold_small|2</v>
      </c>
    </row>
    <row r="19" spans="1:8" x14ac:dyDescent="0.2">
      <c r="A19" s="2" t="s">
        <v>27</v>
      </c>
      <c r="B19" s="2" t="s">
        <v>9</v>
      </c>
      <c r="C19" s="2">
        <v>11</v>
      </c>
      <c r="D19" s="2" t="s">
        <v>49</v>
      </c>
      <c r="E19" s="2" t="s">
        <v>49</v>
      </c>
      <c r="F19" s="3" t="b">
        <f>TRUE()</f>
        <v>1</v>
      </c>
      <c r="G19" s="2" t="s">
        <v>53</v>
      </c>
      <c r="H19" s="2" t="str">
        <f t="shared" si="0"/>
        <v>claude|threshold_small|11</v>
      </c>
    </row>
    <row r="20" spans="1:8" x14ac:dyDescent="0.2">
      <c r="A20" s="2" t="s">
        <v>27</v>
      </c>
      <c r="B20" s="2" t="s">
        <v>9</v>
      </c>
      <c r="C20" s="2">
        <v>12</v>
      </c>
      <c r="D20" s="2" t="s">
        <v>49</v>
      </c>
      <c r="E20" s="2" t="s">
        <v>49</v>
      </c>
      <c r="F20" s="3" t="b">
        <f>TRUE()</f>
        <v>1</v>
      </c>
      <c r="G20" s="2" t="s">
        <v>54</v>
      </c>
      <c r="H20" s="2" t="str">
        <f t="shared" si="0"/>
        <v>claude|threshold_small|12</v>
      </c>
    </row>
    <row r="21" spans="1:8" x14ac:dyDescent="0.2">
      <c r="A21" s="2" t="s">
        <v>27</v>
      </c>
      <c r="B21" s="2" t="s">
        <v>9</v>
      </c>
      <c r="C21" s="2">
        <v>13</v>
      </c>
      <c r="D21" s="2" t="s">
        <v>51</v>
      </c>
      <c r="E21" s="2" t="s">
        <v>51</v>
      </c>
      <c r="F21" s="3" t="b">
        <f>TRUE()</f>
        <v>1</v>
      </c>
      <c r="G21" s="2" t="s">
        <v>55</v>
      </c>
      <c r="H21" s="2" t="str">
        <f t="shared" si="0"/>
        <v>claude|threshold_small|13</v>
      </c>
    </row>
    <row r="22" spans="1:8" x14ac:dyDescent="0.2">
      <c r="A22" s="2" t="s">
        <v>27</v>
      </c>
      <c r="B22" s="2" t="s">
        <v>9</v>
      </c>
      <c r="C22" s="2">
        <v>14</v>
      </c>
      <c r="D22" s="2" t="s">
        <v>51</v>
      </c>
      <c r="E22" s="2" t="s">
        <v>51</v>
      </c>
      <c r="F22" s="3" t="b">
        <f>TRUE()</f>
        <v>1</v>
      </c>
      <c r="G22" s="2" t="s">
        <v>56</v>
      </c>
      <c r="H22" s="2" t="str">
        <f t="shared" si="0"/>
        <v>claude|threshold_small|14</v>
      </c>
    </row>
    <row r="23" spans="1:8" x14ac:dyDescent="0.2">
      <c r="A23" s="2" t="s">
        <v>27</v>
      </c>
      <c r="B23" s="2" t="s">
        <v>9</v>
      </c>
      <c r="C23" s="2">
        <v>26</v>
      </c>
      <c r="D23" s="2" t="s">
        <v>51</v>
      </c>
      <c r="E23" s="2" t="s">
        <v>51</v>
      </c>
      <c r="F23" s="3" t="b">
        <f>TRUE()</f>
        <v>1</v>
      </c>
      <c r="G23" s="2" t="s">
        <v>57</v>
      </c>
      <c r="H23" s="2" t="str">
        <f t="shared" si="0"/>
        <v>claude|threshold_small|26</v>
      </c>
    </row>
    <row r="24" spans="1:8" x14ac:dyDescent="0.2">
      <c r="A24" s="2" t="s">
        <v>27</v>
      </c>
      <c r="B24" s="2" t="s">
        <v>9</v>
      </c>
      <c r="C24" s="2">
        <v>31</v>
      </c>
      <c r="D24" s="2" t="s">
        <v>51</v>
      </c>
      <c r="E24" s="2" t="s">
        <v>28</v>
      </c>
      <c r="F24" s="4" t="b">
        <f>FALSE()</f>
        <v>0</v>
      </c>
      <c r="G24" s="2" t="s">
        <v>59</v>
      </c>
      <c r="H24" s="2" t="str">
        <f t="shared" si="0"/>
        <v>claude|threshold_small|31</v>
      </c>
    </row>
    <row r="25" spans="1:8" x14ac:dyDescent="0.2">
      <c r="A25" s="2" t="s">
        <v>27</v>
      </c>
      <c r="B25" s="2" t="s">
        <v>9</v>
      </c>
      <c r="C25" s="2">
        <v>33</v>
      </c>
      <c r="D25" s="2" t="s">
        <v>58</v>
      </c>
      <c r="E25" s="2" t="s">
        <v>58</v>
      </c>
      <c r="F25" s="3" t="b">
        <f>TRUE()</f>
        <v>1</v>
      </c>
      <c r="G25" s="2" t="s">
        <v>60</v>
      </c>
      <c r="H25" s="2" t="str">
        <f t="shared" si="0"/>
        <v>claude|threshold_small|33</v>
      </c>
    </row>
    <row r="26" spans="1:8" x14ac:dyDescent="0.2">
      <c r="A26" s="2" t="s">
        <v>27</v>
      </c>
      <c r="B26" s="2" t="s">
        <v>9</v>
      </c>
      <c r="C26" s="2">
        <v>41</v>
      </c>
      <c r="D26" s="2" t="s">
        <v>58</v>
      </c>
      <c r="E26" s="2" t="s">
        <v>58</v>
      </c>
      <c r="F26" s="3" t="b">
        <f>TRUE()</f>
        <v>1</v>
      </c>
      <c r="G26" s="2" t="s">
        <v>61</v>
      </c>
      <c r="H26" s="2" t="str">
        <f t="shared" si="0"/>
        <v>claude|threshold_small|41</v>
      </c>
    </row>
    <row r="27" spans="1:8" x14ac:dyDescent="0.2">
      <c r="A27" s="2" t="s">
        <v>27</v>
      </c>
      <c r="B27" s="2" t="s">
        <v>9</v>
      </c>
      <c r="C27" s="2">
        <v>44</v>
      </c>
      <c r="D27" s="2" t="s">
        <v>62</v>
      </c>
      <c r="E27" s="2" t="s">
        <v>62</v>
      </c>
      <c r="F27" s="3" t="b">
        <f>TRUE()</f>
        <v>1</v>
      </c>
      <c r="G27" s="2" t="s">
        <v>63</v>
      </c>
      <c r="H27" s="2" t="str">
        <f t="shared" si="0"/>
        <v>claude|threshold_small|44</v>
      </c>
    </row>
    <row r="28" spans="1:8" x14ac:dyDescent="0.2">
      <c r="A28" s="2" t="s">
        <v>27</v>
      </c>
      <c r="B28" s="2" t="s">
        <v>9</v>
      </c>
      <c r="C28" s="2">
        <v>45</v>
      </c>
      <c r="D28" s="2" t="s">
        <v>62</v>
      </c>
      <c r="E28" s="2" t="s">
        <v>28</v>
      </c>
      <c r="F28" s="4" t="b">
        <f>FALSE()</f>
        <v>0</v>
      </c>
      <c r="G28" s="2" t="s">
        <v>64</v>
      </c>
      <c r="H28" s="2" t="str">
        <f t="shared" si="0"/>
        <v>claude|threshold_small|45</v>
      </c>
    </row>
    <row r="29" spans="1:8" x14ac:dyDescent="0.2">
      <c r="A29" s="2" t="s">
        <v>27</v>
      </c>
      <c r="B29" s="2" t="s">
        <v>9</v>
      </c>
      <c r="C29" s="2">
        <v>51</v>
      </c>
      <c r="D29" s="2" t="s">
        <v>62</v>
      </c>
      <c r="E29" s="2" t="s">
        <v>62</v>
      </c>
      <c r="F29" s="3" t="b">
        <f>TRUE()</f>
        <v>1</v>
      </c>
      <c r="G29" s="2" t="s">
        <v>65</v>
      </c>
      <c r="H29" s="2" t="str">
        <f t="shared" si="0"/>
        <v>claude|threshold_small|51</v>
      </c>
    </row>
    <row r="30" spans="1:8" x14ac:dyDescent="0.2">
      <c r="A30" s="2" t="s">
        <v>27</v>
      </c>
      <c r="B30" s="2" t="s">
        <v>9</v>
      </c>
      <c r="C30" s="2">
        <v>59</v>
      </c>
      <c r="D30" s="2" t="s">
        <v>62</v>
      </c>
      <c r="E30" s="2" t="s">
        <v>62</v>
      </c>
      <c r="F30" s="3" t="b">
        <f>TRUE()</f>
        <v>1</v>
      </c>
      <c r="G30" s="2" t="s">
        <v>66</v>
      </c>
      <c r="H30" s="2" t="str">
        <f t="shared" si="0"/>
        <v>claude|threshold_small|59</v>
      </c>
    </row>
    <row r="31" spans="1:8" x14ac:dyDescent="0.2">
      <c r="A31" s="2" t="s">
        <v>27</v>
      </c>
      <c r="B31" s="2" t="s">
        <v>9</v>
      </c>
      <c r="C31" s="2">
        <v>56</v>
      </c>
      <c r="D31" s="2" t="s">
        <v>62</v>
      </c>
      <c r="E31" s="2" t="s">
        <v>28</v>
      </c>
      <c r="F31" s="4" t="b">
        <f>FALSE()</f>
        <v>0</v>
      </c>
      <c r="G31" s="2" t="s">
        <v>67</v>
      </c>
      <c r="H31" s="2" t="str">
        <f t="shared" si="0"/>
        <v>claude|threshold_small|56</v>
      </c>
    </row>
    <row r="32" spans="1:8" x14ac:dyDescent="0.2">
      <c r="A32" s="2" t="s">
        <v>29</v>
      </c>
      <c r="B32" s="2" t="s">
        <v>9</v>
      </c>
      <c r="C32" s="2">
        <v>1</v>
      </c>
      <c r="D32" s="2" t="s">
        <v>49</v>
      </c>
      <c r="E32" s="2" t="s">
        <v>49</v>
      </c>
      <c r="F32" s="3" t="b">
        <f>TRUE()</f>
        <v>1</v>
      </c>
      <c r="G32" s="2" t="s">
        <v>50</v>
      </c>
      <c r="H32" s="2" t="str">
        <f t="shared" si="0"/>
        <v>gemini|threshold_small|1</v>
      </c>
    </row>
    <row r="33" spans="1:8" x14ac:dyDescent="0.2">
      <c r="A33" s="2" t="s">
        <v>29</v>
      </c>
      <c r="B33" s="2" t="s">
        <v>9</v>
      </c>
      <c r="C33" s="2">
        <v>2</v>
      </c>
      <c r="D33" s="2" t="s">
        <v>51</v>
      </c>
      <c r="E33" s="2" t="s">
        <v>51</v>
      </c>
      <c r="F33" s="3" t="b">
        <f>TRUE()</f>
        <v>1</v>
      </c>
      <c r="G33" s="2" t="s">
        <v>52</v>
      </c>
      <c r="H33" s="2" t="str">
        <f t="shared" si="0"/>
        <v>gemini|threshold_small|2</v>
      </c>
    </row>
    <row r="34" spans="1:8" x14ac:dyDescent="0.2">
      <c r="A34" s="2" t="s">
        <v>29</v>
      </c>
      <c r="B34" s="2" t="s">
        <v>9</v>
      </c>
      <c r="C34" s="2">
        <v>11</v>
      </c>
      <c r="D34" s="2" t="s">
        <v>49</v>
      </c>
      <c r="E34" s="2" t="s">
        <v>49</v>
      </c>
      <c r="F34" s="3" t="b">
        <f>TRUE()</f>
        <v>1</v>
      </c>
      <c r="G34" s="2" t="s">
        <v>53</v>
      </c>
      <c r="H34" s="2" t="str">
        <f t="shared" si="0"/>
        <v>gemini|threshold_small|11</v>
      </c>
    </row>
    <row r="35" spans="1:8" x14ac:dyDescent="0.2">
      <c r="A35" s="2" t="s">
        <v>29</v>
      </c>
      <c r="B35" s="2" t="s">
        <v>9</v>
      </c>
      <c r="C35" s="2">
        <v>12</v>
      </c>
      <c r="D35" s="2" t="s">
        <v>49</v>
      </c>
      <c r="E35" s="2" t="s">
        <v>49</v>
      </c>
      <c r="F35" s="3" t="b">
        <f>TRUE()</f>
        <v>1</v>
      </c>
      <c r="G35" s="2" t="s">
        <v>54</v>
      </c>
      <c r="H35" s="2" t="str">
        <f t="shared" si="0"/>
        <v>gemini|threshold_small|12</v>
      </c>
    </row>
    <row r="36" spans="1:8" x14ac:dyDescent="0.2">
      <c r="A36" s="2" t="s">
        <v>29</v>
      </c>
      <c r="B36" s="2" t="s">
        <v>9</v>
      </c>
      <c r="C36" s="2">
        <v>13</v>
      </c>
      <c r="D36" s="2" t="s">
        <v>51</v>
      </c>
      <c r="E36" s="2" t="s">
        <v>51</v>
      </c>
      <c r="F36" s="3" t="b">
        <f>TRUE()</f>
        <v>1</v>
      </c>
      <c r="G36" s="2" t="s">
        <v>55</v>
      </c>
      <c r="H36" s="2" t="str">
        <f t="shared" si="0"/>
        <v>gemini|threshold_small|13</v>
      </c>
    </row>
    <row r="37" spans="1:8" x14ac:dyDescent="0.2">
      <c r="A37" s="2" t="s">
        <v>29</v>
      </c>
      <c r="B37" s="2" t="s">
        <v>9</v>
      </c>
      <c r="C37" s="2">
        <v>14</v>
      </c>
      <c r="D37" s="2" t="s">
        <v>51</v>
      </c>
      <c r="E37" s="2" t="s">
        <v>51</v>
      </c>
      <c r="F37" s="3" t="b">
        <f>TRUE()</f>
        <v>1</v>
      </c>
      <c r="G37" s="2" t="s">
        <v>56</v>
      </c>
      <c r="H37" s="2" t="str">
        <f t="shared" si="0"/>
        <v>gemini|threshold_small|14</v>
      </c>
    </row>
    <row r="38" spans="1:8" x14ac:dyDescent="0.2">
      <c r="A38" s="2" t="s">
        <v>29</v>
      </c>
      <c r="B38" s="2" t="s">
        <v>9</v>
      </c>
      <c r="C38" s="2">
        <v>26</v>
      </c>
      <c r="D38" s="2" t="s">
        <v>51</v>
      </c>
      <c r="E38" s="2" t="s">
        <v>58</v>
      </c>
      <c r="F38" s="4" t="b">
        <f>FALSE()</f>
        <v>0</v>
      </c>
      <c r="G38" s="2" t="s">
        <v>57</v>
      </c>
      <c r="H38" s="2" t="str">
        <f t="shared" si="0"/>
        <v>gemini|threshold_small|26</v>
      </c>
    </row>
    <row r="39" spans="1:8" x14ac:dyDescent="0.2">
      <c r="A39" s="2" t="s">
        <v>29</v>
      </c>
      <c r="B39" s="2" t="s">
        <v>9</v>
      </c>
      <c r="C39" s="2">
        <v>31</v>
      </c>
      <c r="D39" s="2" t="s">
        <v>51</v>
      </c>
      <c r="E39" s="2" t="s">
        <v>51</v>
      </c>
      <c r="F39" s="3" t="b">
        <f>TRUE()</f>
        <v>1</v>
      </c>
      <c r="G39" s="2" t="s">
        <v>59</v>
      </c>
      <c r="H39" s="2" t="str">
        <f t="shared" si="0"/>
        <v>gemini|threshold_small|31</v>
      </c>
    </row>
    <row r="40" spans="1:8" x14ac:dyDescent="0.2">
      <c r="A40" s="2" t="s">
        <v>29</v>
      </c>
      <c r="B40" s="2" t="s">
        <v>9</v>
      </c>
      <c r="C40" s="2">
        <v>33</v>
      </c>
      <c r="D40" s="2" t="s">
        <v>58</v>
      </c>
      <c r="E40" s="2" t="s">
        <v>58</v>
      </c>
      <c r="F40" s="3" t="b">
        <f>TRUE()</f>
        <v>1</v>
      </c>
      <c r="G40" s="2" t="s">
        <v>60</v>
      </c>
      <c r="H40" s="2" t="str">
        <f t="shared" si="0"/>
        <v>gemini|threshold_small|33</v>
      </c>
    </row>
    <row r="41" spans="1:8" x14ac:dyDescent="0.2">
      <c r="A41" s="2" t="s">
        <v>29</v>
      </c>
      <c r="B41" s="2" t="s">
        <v>9</v>
      </c>
      <c r="C41" s="2">
        <v>41</v>
      </c>
      <c r="D41" s="2" t="s">
        <v>58</v>
      </c>
      <c r="E41" s="2" t="s">
        <v>58</v>
      </c>
      <c r="F41" s="3" t="b">
        <f>TRUE()</f>
        <v>1</v>
      </c>
      <c r="G41" s="2" t="s">
        <v>61</v>
      </c>
      <c r="H41" s="2" t="str">
        <f t="shared" si="0"/>
        <v>gemini|threshold_small|41</v>
      </c>
    </row>
    <row r="42" spans="1:8" x14ac:dyDescent="0.2">
      <c r="A42" s="2" t="s">
        <v>29</v>
      </c>
      <c r="B42" s="2" t="s">
        <v>9</v>
      </c>
      <c r="C42" s="2">
        <v>44</v>
      </c>
      <c r="D42" s="2" t="s">
        <v>62</v>
      </c>
      <c r="E42" s="2" t="s">
        <v>62</v>
      </c>
      <c r="F42" s="3" t="b">
        <f>TRUE()</f>
        <v>1</v>
      </c>
      <c r="G42" s="2" t="s">
        <v>63</v>
      </c>
      <c r="H42" s="2" t="str">
        <f t="shared" si="0"/>
        <v>gemini|threshold_small|44</v>
      </c>
    </row>
    <row r="43" spans="1:8" x14ac:dyDescent="0.2">
      <c r="A43" s="2" t="s">
        <v>29</v>
      </c>
      <c r="B43" s="2" t="s">
        <v>9</v>
      </c>
      <c r="C43" s="2">
        <v>45</v>
      </c>
      <c r="D43" s="2" t="s">
        <v>62</v>
      </c>
      <c r="E43" s="2" t="s">
        <v>58</v>
      </c>
      <c r="F43" s="4" t="b">
        <f>FALSE()</f>
        <v>0</v>
      </c>
      <c r="G43" s="2" t="s">
        <v>64</v>
      </c>
      <c r="H43" s="2" t="str">
        <f t="shared" si="0"/>
        <v>gemini|threshold_small|45</v>
      </c>
    </row>
    <row r="44" spans="1:8" x14ac:dyDescent="0.2">
      <c r="A44" s="2" t="s">
        <v>29</v>
      </c>
      <c r="B44" s="2" t="s">
        <v>9</v>
      </c>
      <c r="C44" s="2">
        <v>51</v>
      </c>
      <c r="D44" s="2" t="s">
        <v>62</v>
      </c>
      <c r="E44" s="2" t="s">
        <v>62</v>
      </c>
      <c r="F44" s="3" t="b">
        <f>TRUE()</f>
        <v>1</v>
      </c>
      <c r="G44" s="2" t="s">
        <v>65</v>
      </c>
      <c r="H44" s="2" t="str">
        <f t="shared" si="0"/>
        <v>gemini|threshold_small|51</v>
      </c>
    </row>
    <row r="45" spans="1:8" x14ac:dyDescent="0.2">
      <c r="A45" s="2" t="s">
        <v>29</v>
      </c>
      <c r="B45" s="2" t="s">
        <v>9</v>
      </c>
      <c r="C45" s="2">
        <v>59</v>
      </c>
      <c r="D45" s="2" t="s">
        <v>62</v>
      </c>
      <c r="E45" s="2" t="s">
        <v>62</v>
      </c>
      <c r="F45" s="3" t="b">
        <f>TRUE()</f>
        <v>1</v>
      </c>
      <c r="G45" s="2" t="s">
        <v>66</v>
      </c>
      <c r="H45" s="2" t="str">
        <f t="shared" si="0"/>
        <v>gemini|threshold_small|59</v>
      </c>
    </row>
    <row r="46" spans="1:8" x14ac:dyDescent="0.2">
      <c r="A46" s="2" t="s">
        <v>29</v>
      </c>
      <c r="B46" s="2" t="s">
        <v>9</v>
      </c>
      <c r="C46" s="2">
        <v>56</v>
      </c>
      <c r="D46" s="2" t="s">
        <v>62</v>
      </c>
      <c r="E46" s="2" t="s">
        <v>68</v>
      </c>
      <c r="F46" s="4" t="b">
        <f>FALSE()</f>
        <v>0</v>
      </c>
      <c r="G46" s="2" t="s">
        <v>67</v>
      </c>
      <c r="H46" s="2" t="str">
        <f t="shared" si="0"/>
        <v>gemini|threshold_small|56</v>
      </c>
    </row>
    <row r="47" spans="1:8" x14ac:dyDescent="0.2">
      <c r="A47" s="2" t="s">
        <v>30</v>
      </c>
      <c r="B47" s="2" t="s">
        <v>9</v>
      </c>
      <c r="C47" s="2">
        <v>1</v>
      </c>
      <c r="D47" s="2" t="s">
        <v>49</v>
      </c>
      <c r="E47" s="2" t="s">
        <v>28</v>
      </c>
      <c r="F47" s="4" t="b">
        <f>FALSE()</f>
        <v>0</v>
      </c>
      <c r="G47" s="2" t="s">
        <v>50</v>
      </c>
      <c r="H47" s="2" t="str">
        <f t="shared" si="0"/>
        <v>llama|threshold_small|1</v>
      </c>
    </row>
    <row r="48" spans="1:8" x14ac:dyDescent="0.2">
      <c r="A48" s="2" t="s">
        <v>30</v>
      </c>
      <c r="B48" s="2" t="s">
        <v>9</v>
      </c>
      <c r="C48" s="2">
        <v>2</v>
      </c>
      <c r="D48" s="2" t="s">
        <v>51</v>
      </c>
      <c r="E48" s="2" t="s">
        <v>28</v>
      </c>
      <c r="F48" s="4" t="b">
        <f>FALSE()</f>
        <v>0</v>
      </c>
      <c r="G48" s="2" t="s">
        <v>52</v>
      </c>
      <c r="H48" s="2" t="str">
        <f t="shared" si="0"/>
        <v>llama|threshold_small|2</v>
      </c>
    </row>
    <row r="49" spans="1:8" x14ac:dyDescent="0.2">
      <c r="A49" s="2" t="s">
        <v>30</v>
      </c>
      <c r="B49" s="2" t="s">
        <v>9</v>
      </c>
      <c r="C49" s="2">
        <v>11</v>
      </c>
      <c r="D49" s="2" t="s">
        <v>49</v>
      </c>
      <c r="E49" s="2" t="s">
        <v>28</v>
      </c>
      <c r="F49" s="4" t="b">
        <f>FALSE()</f>
        <v>0</v>
      </c>
      <c r="G49" s="2" t="s">
        <v>53</v>
      </c>
      <c r="H49" s="2" t="str">
        <f t="shared" si="0"/>
        <v>llama|threshold_small|11</v>
      </c>
    </row>
    <row r="50" spans="1:8" x14ac:dyDescent="0.2">
      <c r="A50" s="2" t="s">
        <v>30</v>
      </c>
      <c r="B50" s="2" t="s">
        <v>9</v>
      </c>
      <c r="C50" s="2">
        <v>12</v>
      </c>
      <c r="D50" s="2" t="s">
        <v>49</v>
      </c>
      <c r="E50" s="2" t="s">
        <v>28</v>
      </c>
      <c r="F50" s="4" t="b">
        <f>FALSE()</f>
        <v>0</v>
      </c>
      <c r="G50" s="2" t="s">
        <v>54</v>
      </c>
      <c r="H50" s="2" t="str">
        <f t="shared" si="0"/>
        <v>llama|threshold_small|12</v>
      </c>
    </row>
    <row r="51" spans="1:8" x14ac:dyDescent="0.2">
      <c r="A51" s="2" t="s">
        <v>30</v>
      </c>
      <c r="B51" s="2" t="s">
        <v>9</v>
      </c>
      <c r="C51" s="2">
        <v>13</v>
      </c>
      <c r="D51" s="2" t="s">
        <v>51</v>
      </c>
      <c r="E51" s="2" t="s">
        <v>28</v>
      </c>
      <c r="F51" s="4" t="b">
        <f>FALSE()</f>
        <v>0</v>
      </c>
      <c r="G51" s="2" t="s">
        <v>55</v>
      </c>
      <c r="H51" s="2" t="str">
        <f t="shared" si="0"/>
        <v>llama|threshold_small|13</v>
      </c>
    </row>
    <row r="52" spans="1:8" x14ac:dyDescent="0.2">
      <c r="A52" s="2" t="s">
        <v>30</v>
      </c>
      <c r="B52" s="2" t="s">
        <v>9</v>
      </c>
      <c r="C52" s="2">
        <v>14</v>
      </c>
      <c r="D52" s="2" t="s">
        <v>51</v>
      </c>
      <c r="E52" s="2" t="s">
        <v>28</v>
      </c>
      <c r="F52" s="4" t="b">
        <f>FALSE()</f>
        <v>0</v>
      </c>
      <c r="G52" s="2" t="s">
        <v>56</v>
      </c>
      <c r="H52" s="2" t="str">
        <f t="shared" si="0"/>
        <v>llama|threshold_small|14</v>
      </c>
    </row>
    <row r="53" spans="1:8" x14ac:dyDescent="0.2">
      <c r="A53" s="2" t="s">
        <v>30</v>
      </c>
      <c r="B53" s="2" t="s">
        <v>9</v>
      </c>
      <c r="C53" s="2">
        <v>26</v>
      </c>
      <c r="D53" s="2" t="s">
        <v>51</v>
      </c>
      <c r="E53" s="2" t="s">
        <v>28</v>
      </c>
      <c r="F53" s="4" t="b">
        <f>FALSE()</f>
        <v>0</v>
      </c>
      <c r="G53" s="2" t="s">
        <v>57</v>
      </c>
      <c r="H53" s="2" t="str">
        <f t="shared" si="0"/>
        <v>llama|threshold_small|26</v>
      </c>
    </row>
    <row r="54" spans="1:8" x14ac:dyDescent="0.2">
      <c r="A54" s="2" t="s">
        <v>30</v>
      </c>
      <c r="B54" s="2" t="s">
        <v>9</v>
      </c>
      <c r="C54" s="2">
        <v>31</v>
      </c>
      <c r="D54" s="2" t="s">
        <v>51</v>
      </c>
      <c r="E54" s="2" t="s">
        <v>28</v>
      </c>
      <c r="F54" s="4" t="b">
        <f>FALSE()</f>
        <v>0</v>
      </c>
      <c r="G54" s="2" t="s">
        <v>59</v>
      </c>
      <c r="H54" s="2" t="str">
        <f t="shared" si="0"/>
        <v>llama|threshold_small|31</v>
      </c>
    </row>
    <row r="55" spans="1:8" x14ac:dyDescent="0.2">
      <c r="A55" s="2" t="s">
        <v>30</v>
      </c>
      <c r="B55" s="2" t="s">
        <v>9</v>
      </c>
      <c r="C55" s="2">
        <v>33</v>
      </c>
      <c r="D55" s="2" t="s">
        <v>58</v>
      </c>
      <c r="E55" s="2" t="s">
        <v>28</v>
      </c>
      <c r="F55" s="4" t="b">
        <f>FALSE()</f>
        <v>0</v>
      </c>
      <c r="G55" s="2" t="s">
        <v>60</v>
      </c>
      <c r="H55" s="2" t="str">
        <f t="shared" si="0"/>
        <v>llama|threshold_small|33</v>
      </c>
    </row>
    <row r="56" spans="1:8" x14ac:dyDescent="0.2">
      <c r="A56" s="2" t="s">
        <v>30</v>
      </c>
      <c r="B56" s="2" t="s">
        <v>9</v>
      </c>
      <c r="C56" s="2">
        <v>41</v>
      </c>
      <c r="D56" s="2" t="s">
        <v>58</v>
      </c>
      <c r="E56" s="2" t="s">
        <v>28</v>
      </c>
      <c r="F56" s="4" t="b">
        <f>FALSE()</f>
        <v>0</v>
      </c>
      <c r="G56" s="2" t="s">
        <v>61</v>
      </c>
      <c r="H56" s="2" t="str">
        <f t="shared" si="0"/>
        <v>llama|threshold_small|41</v>
      </c>
    </row>
    <row r="57" spans="1:8" x14ac:dyDescent="0.2">
      <c r="A57" s="2" t="s">
        <v>30</v>
      </c>
      <c r="B57" s="2" t="s">
        <v>9</v>
      </c>
      <c r="C57" s="2">
        <v>44</v>
      </c>
      <c r="D57" s="2" t="s">
        <v>62</v>
      </c>
      <c r="E57" s="2" t="s">
        <v>28</v>
      </c>
      <c r="F57" s="4" t="b">
        <f>FALSE()</f>
        <v>0</v>
      </c>
      <c r="G57" s="2" t="s">
        <v>63</v>
      </c>
      <c r="H57" s="2" t="str">
        <f t="shared" si="0"/>
        <v>llama|threshold_small|44</v>
      </c>
    </row>
    <row r="58" spans="1:8" x14ac:dyDescent="0.2">
      <c r="A58" s="2" t="s">
        <v>30</v>
      </c>
      <c r="B58" s="2" t="s">
        <v>9</v>
      </c>
      <c r="C58" s="2">
        <v>45</v>
      </c>
      <c r="D58" s="2" t="s">
        <v>62</v>
      </c>
      <c r="E58" s="2" t="s">
        <v>28</v>
      </c>
      <c r="F58" s="4" t="b">
        <f>FALSE()</f>
        <v>0</v>
      </c>
      <c r="G58" s="2" t="s">
        <v>64</v>
      </c>
      <c r="H58" s="2" t="str">
        <f t="shared" si="0"/>
        <v>llama|threshold_small|45</v>
      </c>
    </row>
    <row r="59" spans="1:8" x14ac:dyDescent="0.2">
      <c r="A59" s="2" t="s">
        <v>30</v>
      </c>
      <c r="B59" s="2" t="s">
        <v>9</v>
      </c>
      <c r="C59" s="2">
        <v>51</v>
      </c>
      <c r="D59" s="2" t="s">
        <v>62</v>
      </c>
      <c r="E59" s="2" t="s">
        <v>28</v>
      </c>
      <c r="F59" s="4" t="b">
        <f>FALSE()</f>
        <v>0</v>
      </c>
      <c r="G59" s="2" t="s">
        <v>65</v>
      </c>
      <c r="H59" s="2" t="str">
        <f t="shared" si="0"/>
        <v>llama|threshold_small|51</v>
      </c>
    </row>
    <row r="60" spans="1:8" x14ac:dyDescent="0.2">
      <c r="A60" s="2" t="s">
        <v>30</v>
      </c>
      <c r="B60" s="2" t="s">
        <v>9</v>
      </c>
      <c r="C60" s="2">
        <v>59</v>
      </c>
      <c r="D60" s="2" t="s">
        <v>62</v>
      </c>
      <c r="E60" s="2" t="s">
        <v>28</v>
      </c>
      <c r="F60" s="4" t="b">
        <f>FALSE()</f>
        <v>0</v>
      </c>
      <c r="G60" s="2" t="s">
        <v>66</v>
      </c>
      <c r="H60" s="2" t="str">
        <f t="shared" si="0"/>
        <v>llama|threshold_small|59</v>
      </c>
    </row>
    <row r="61" spans="1:8" x14ac:dyDescent="0.2">
      <c r="A61" s="2" t="s">
        <v>30</v>
      </c>
      <c r="B61" s="2" t="s">
        <v>9</v>
      </c>
      <c r="C61" s="2">
        <v>56</v>
      </c>
      <c r="D61" s="2" t="s">
        <v>62</v>
      </c>
      <c r="E61" s="2" t="s">
        <v>28</v>
      </c>
      <c r="F61" s="4" t="b">
        <f>FALSE()</f>
        <v>0</v>
      </c>
      <c r="G61" s="2" t="s">
        <v>67</v>
      </c>
      <c r="H61" s="2" t="str">
        <f t="shared" si="0"/>
        <v>llama|threshold_small|56</v>
      </c>
    </row>
    <row r="62" spans="1:8" x14ac:dyDescent="0.2">
      <c r="A62" s="2" t="s">
        <v>8</v>
      </c>
      <c r="B62" s="2" t="s">
        <v>31</v>
      </c>
      <c r="C62" s="2">
        <v>1</v>
      </c>
      <c r="D62" s="2" t="s">
        <v>58</v>
      </c>
      <c r="E62" s="2" t="s">
        <v>58</v>
      </c>
      <c r="F62" s="3" t="b">
        <f>TRUE()</f>
        <v>1</v>
      </c>
      <c r="G62" s="2" t="s">
        <v>50</v>
      </c>
      <c r="H62" s="2" t="str">
        <f t="shared" si="0"/>
        <v>gpt|threshold_large|1</v>
      </c>
    </row>
    <row r="63" spans="1:8" x14ac:dyDescent="0.2">
      <c r="A63" s="2" t="s">
        <v>8</v>
      </c>
      <c r="B63" s="2" t="s">
        <v>31</v>
      </c>
      <c r="C63" s="2">
        <v>2</v>
      </c>
      <c r="D63" s="2" t="s">
        <v>58</v>
      </c>
      <c r="E63" s="2" t="s">
        <v>58</v>
      </c>
      <c r="F63" s="3" t="b">
        <f>TRUE()</f>
        <v>1</v>
      </c>
      <c r="G63" s="2" t="s">
        <v>52</v>
      </c>
      <c r="H63" s="2" t="str">
        <f t="shared" si="0"/>
        <v>gpt|threshold_large|2</v>
      </c>
    </row>
    <row r="64" spans="1:8" x14ac:dyDescent="0.2">
      <c r="A64" s="2" t="s">
        <v>8</v>
      </c>
      <c r="B64" s="2" t="s">
        <v>31</v>
      </c>
      <c r="C64" s="2">
        <v>11</v>
      </c>
      <c r="D64" s="2" t="s">
        <v>58</v>
      </c>
      <c r="E64" s="2" t="s">
        <v>58</v>
      </c>
      <c r="F64" s="3" t="b">
        <f>TRUE()</f>
        <v>1</v>
      </c>
      <c r="G64" s="2" t="s">
        <v>53</v>
      </c>
      <c r="H64" s="2" t="str">
        <f t="shared" si="0"/>
        <v>gpt|threshold_large|11</v>
      </c>
    </row>
    <row r="65" spans="1:8" x14ac:dyDescent="0.2">
      <c r="A65" s="2" t="s">
        <v>8</v>
      </c>
      <c r="B65" s="2" t="s">
        <v>31</v>
      </c>
      <c r="C65" s="2">
        <v>12</v>
      </c>
      <c r="D65" s="2" t="s">
        <v>58</v>
      </c>
      <c r="E65" s="2" t="s">
        <v>58</v>
      </c>
      <c r="F65" s="3" t="b">
        <f>TRUE()</f>
        <v>1</v>
      </c>
      <c r="G65" s="2" t="s">
        <v>54</v>
      </c>
      <c r="H65" s="2" t="str">
        <f t="shared" si="0"/>
        <v>gpt|threshold_large|12</v>
      </c>
    </row>
    <row r="66" spans="1:8" x14ac:dyDescent="0.2">
      <c r="A66" s="2" t="s">
        <v>8</v>
      </c>
      <c r="B66" s="2" t="s">
        <v>31</v>
      </c>
      <c r="C66" s="2">
        <v>13</v>
      </c>
      <c r="D66" s="2" t="s">
        <v>58</v>
      </c>
      <c r="E66" s="2" t="s">
        <v>58</v>
      </c>
      <c r="F66" s="3" t="b">
        <f>TRUE()</f>
        <v>1</v>
      </c>
      <c r="G66" s="2" t="s">
        <v>55</v>
      </c>
      <c r="H66" s="2" t="str">
        <f t="shared" ref="H66:H129" si="1">A66&amp;"|"&amp;B66&amp;"|"&amp;C66</f>
        <v>gpt|threshold_large|13</v>
      </c>
    </row>
    <row r="67" spans="1:8" x14ac:dyDescent="0.2">
      <c r="A67" s="2" t="s">
        <v>8</v>
      </c>
      <c r="B67" s="2" t="s">
        <v>31</v>
      </c>
      <c r="C67" s="2">
        <v>14</v>
      </c>
      <c r="D67" s="2" t="s">
        <v>58</v>
      </c>
      <c r="E67" s="2" t="s">
        <v>58</v>
      </c>
      <c r="F67" s="3" t="b">
        <f>TRUE()</f>
        <v>1</v>
      </c>
      <c r="G67" s="2" t="s">
        <v>56</v>
      </c>
      <c r="H67" s="2" t="str">
        <f t="shared" si="1"/>
        <v>gpt|threshold_large|14</v>
      </c>
    </row>
    <row r="68" spans="1:8" x14ac:dyDescent="0.2">
      <c r="A68" s="2" t="s">
        <v>8</v>
      </c>
      <c r="B68" s="2" t="s">
        <v>31</v>
      </c>
      <c r="C68" s="2">
        <v>26</v>
      </c>
      <c r="D68" s="2" t="s">
        <v>69</v>
      </c>
      <c r="E68" s="2" t="s">
        <v>69</v>
      </c>
      <c r="F68" s="3" t="b">
        <f>TRUE()</f>
        <v>1</v>
      </c>
      <c r="G68" s="2" t="s">
        <v>57</v>
      </c>
      <c r="H68" s="2" t="str">
        <f t="shared" si="1"/>
        <v>gpt|threshold_large|26</v>
      </c>
    </row>
    <row r="69" spans="1:8" x14ac:dyDescent="0.2">
      <c r="A69" s="2" t="s">
        <v>8</v>
      </c>
      <c r="B69" s="2" t="s">
        <v>31</v>
      </c>
      <c r="C69" s="2">
        <v>31</v>
      </c>
      <c r="D69" s="2" t="s">
        <v>69</v>
      </c>
      <c r="E69" s="2" t="s">
        <v>69</v>
      </c>
      <c r="F69" s="3" t="b">
        <f>TRUE()</f>
        <v>1</v>
      </c>
      <c r="G69" s="2" t="s">
        <v>59</v>
      </c>
      <c r="H69" s="2" t="str">
        <f t="shared" si="1"/>
        <v>gpt|threshold_large|31</v>
      </c>
    </row>
    <row r="70" spans="1:8" x14ac:dyDescent="0.2">
      <c r="A70" s="2" t="s">
        <v>8</v>
      </c>
      <c r="B70" s="2" t="s">
        <v>31</v>
      </c>
      <c r="C70" s="2">
        <v>33</v>
      </c>
      <c r="D70" s="2" t="s">
        <v>69</v>
      </c>
      <c r="E70" s="2" t="s">
        <v>69</v>
      </c>
      <c r="F70" s="3" t="b">
        <f>TRUE()</f>
        <v>1</v>
      </c>
      <c r="G70" s="2" t="s">
        <v>60</v>
      </c>
      <c r="H70" s="2" t="str">
        <f t="shared" si="1"/>
        <v>gpt|threshold_large|33</v>
      </c>
    </row>
    <row r="71" spans="1:8" x14ac:dyDescent="0.2">
      <c r="A71" s="2" t="s">
        <v>8</v>
      </c>
      <c r="B71" s="2" t="s">
        <v>31</v>
      </c>
      <c r="C71" s="2">
        <v>41</v>
      </c>
      <c r="D71" s="2" t="s">
        <v>69</v>
      </c>
      <c r="E71" s="2" t="s">
        <v>69</v>
      </c>
      <c r="F71" s="3" t="b">
        <f>TRUE()</f>
        <v>1</v>
      </c>
      <c r="G71" s="2" t="s">
        <v>61</v>
      </c>
      <c r="H71" s="2" t="str">
        <f t="shared" si="1"/>
        <v>gpt|threshold_large|41</v>
      </c>
    </row>
    <row r="72" spans="1:8" x14ac:dyDescent="0.2">
      <c r="A72" s="2" t="s">
        <v>8</v>
      </c>
      <c r="B72" s="2" t="s">
        <v>31</v>
      </c>
      <c r="C72" s="2">
        <v>44</v>
      </c>
      <c r="D72" s="2" t="s">
        <v>69</v>
      </c>
      <c r="E72" s="2" t="s">
        <v>69</v>
      </c>
      <c r="F72" s="3" t="b">
        <f>TRUE()</f>
        <v>1</v>
      </c>
      <c r="G72" s="2" t="s">
        <v>63</v>
      </c>
      <c r="H72" s="2" t="str">
        <f t="shared" si="1"/>
        <v>gpt|threshold_large|44</v>
      </c>
    </row>
    <row r="73" spans="1:8" x14ac:dyDescent="0.2">
      <c r="A73" s="2" t="s">
        <v>8</v>
      </c>
      <c r="B73" s="2" t="s">
        <v>31</v>
      </c>
      <c r="C73" s="2">
        <v>45</v>
      </c>
      <c r="D73" s="2" t="s">
        <v>69</v>
      </c>
      <c r="E73" s="2" t="s">
        <v>69</v>
      </c>
      <c r="F73" s="3" t="b">
        <f>TRUE()</f>
        <v>1</v>
      </c>
      <c r="G73" s="2" t="s">
        <v>64</v>
      </c>
      <c r="H73" s="2" t="str">
        <f t="shared" si="1"/>
        <v>gpt|threshold_large|45</v>
      </c>
    </row>
    <row r="74" spans="1:8" x14ac:dyDescent="0.2">
      <c r="A74" s="2" t="s">
        <v>8</v>
      </c>
      <c r="B74" s="2" t="s">
        <v>31</v>
      </c>
      <c r="C74" s="2">
        <v>51</v>
      </c>
      <c r="D74" s="2" t="s">
        <v>69</v>
      </c>
      <c r="E74" s="2" t="s">
        <v>69</v>
      </c>
      <c r="F74" s="3" t="b">
        <f>TRUE()</f>
        <v>1</v>
      </c>
      <c r="G74" s="2" t="s">
        <v>65</v>
      </c>
      <c r="H74" s="2" t="str">
        <f t="shared" si="1"/>
        <v>gpt|threshold_large|51</v>
      </c>
    </row>
    <row r="75" spans="1:8" x14ac:dyDescent="0.2">
      <c r="A75" s="2" t="s">
        <v>8</v>
      </c>
      <c r="B75" s="2" t="s">
        <v>31</v>
      </c>
      <c r="C75" s="2">
        <v>59</v>
      </c>
      <c r="D75" s="2" t="s">
        <v>69</v>
      </c>
      <c r="E75" s="2" t="s">
        <v>69</v>
      </c>
      <c r="F75" s="3" t="b">
        <f>TRUE()</f>
        <v>1</v>
      </c>
      <c r="G75" s="2" t="s">
        <v>66</v>
      </c>
      <c r="H75" s="2" t="str">
        <f t="shared" si="1"/>
        <v>gpt|threshold_large|59</v>
      </c>
    </row>
    <row r="76" spans="1:8" x14ac:dyDescent="0.2">
      <c r="A76" s="2" t="s">
        <v>8</v>
      </c>
      <c r="B76" s="2" t="s">
        <v>31</v>
      </c>
      <c r="C76" s="2">
        <v>56</v>
      </c>
      <c r="D76" s="2" t="s">
        <v>69</v>
      </c>
      <c r="E76" s="2" t="s">
        <v>69</v>
      </c>
      <c r="F76" s="3" t="b">
        <f>TRUE()</f>
        <v>1</v>
      </c>
      <c r="G76" s="2" t="s">
        <v>67</v>
      </c>
      <c r="H76" s="2" t="str">
        <f t="shared" si="1"/>
        <v>gpt|threshold_large|56</v>
      </c>
    </row>
    <row r="77" spans="1:8" x14ac:dyDescent="0.2">
      <c r="A77" s="2" t="s">
        <v>27</v>
      </c>
      <c r="B77" s="2" t="s">
        <v>31</v>
      </c>
      <c r="C77" s="2">
        <v>1</v>
      </c>
      <c r="D77" s="2" t="s">
        <v>58</v>
      </c>
      <c r="E77" s="2" t="s">
        <v>58</v>
      </c>
      <c r="F77" s="3" t="b">
        <f>TRUE()</f>
        <v>1</v>
      </c>
      <c r="G77" s="2" t="s">
        <v>50</v>
      </c>
      <c r="H77" s="2" t="str">
        <f t="shared" si="1"/>
        <v>claude|threshold_large|1</v>
      </c>
    </row>
    <row r="78" spans="1:8" x14ac:dyDescent="0.2">
      <c r="A78" s="2" t="s">
        <v>27</v>
      </c>
      <c r="B78" s="2" t="s">
        <v>31</v>
      </c>
      <c r="C78" s="2">
        <v>2</v>
      </c>
      <c r="D78" s="2" t="s">
        <v>58</v>
      </c>
      <c r="E78" s="2" t="s">
        <v>28</v>
      </c>
      <c r="F78" s="4" t="b">
        <f>FALSE()</f>
        <v>0</v>
      </c>
      <c r="G78" s="2" t="s">
        <v>52</v>
      </c>
      <c r="H78" s="2" t="str">
        <f t="shared" si="1"/>
        <v>claude|threshold_large|2</v>
      </c>
    </row>
    <row r="79" spans="1:8" x14ac:dyDescent="0.2">
      <c r="A79" s="2" t="s">
        <v>27</v>
      </c>
      <c r="B79" s="2" t="s">
        <v>31</v>
      </c>
      <c r="C79" s="2">
        <v>11</v>
      </c>
      <c r="D79" s="2" t="s">
        <v>58</v>
      </c>
      <c r="E79" s="2" t="s">
        <v>58</v>
      </c>
      <c r="F79" s="3" t="b">
        <f>TRUE()</f>
        <v>1</v>
      </c>
      <c r="G79" s="2" t="s">
        <v>53</v>
      </c>
      <c r="H79" s="2" t="str">
        <f t="shared" si="1"/>
        <v>claude|threshold_large|11</v>
      </c>
    </row>
    <row r="80" spans="1:8" x14ac:dyDescent="0.2">
      <c r="A80" s="2" t="s">
        <v>27</v>
      </c>
      <c r="B80" s="2" t="s">
        <v>31</v>
      </c>
      <c r="C80" s="2">
        <v>12</v>
      </c>
      <c r="D80" s="2" t="s">
        <v>58</v>
      </c>
      <c r="E80" s="2" t="s">
        <v>28</v>
      </c>
      <c r="F80" s="4" t="b">
        <f>FALSE()</f>
        <v>0</v>
      </c>
      <c r="G80" s="2" t="s">
        <v>54</v>
      </c>
      <c r="H80" s="2" t="str">
        <f t="shared" si="1"/>
        <v>claude|threshold_large|12</v>
      </c>
    </row>
    <row r="81" spans="1:8" x14ac:dyDescent="0.2">
      <c r="A81" s="2" t="s">
        <v>27</v>
      </c>
      <c r="B81" s="2" t="s">
        <v>31</v>
      </c>
      <c r="C81" s="2">
        <v>13</v>
      </c>
      <c r="D81" s="2" t="s">
        <v>58</v>
      </c>
      <c r="E81" s="2" t="s">
        <v>58</v>
      </c>
      <c r="F81" s="3" t="b">
        <f>TRUE()</f>
        <v>1</v>
      </c>
      <c r="G81" s="2" t="s">
        <v>55</v>
      </c>
      <c r="H81" s="2" t="str">
        <f t="shared" si="1"/>
        <v>claude|threshold_large|13</v>
      </c>
    </row>
    <row r="82" spans="1:8" x14ac:dyDescent="0.2">
      <c r="A82" s="2" t="s">
        <v>27</v>
      </c>
      <c r="B82" s="2" t="s">
        <v>31</v>
      </c>
      <c r="C82" s="2">
        <v>14</v>
      </c>
      <c r="D82" s="2" t="s">
        <v>58</v>
      </c>
      <c r="E82" s="2" t="s">
        <v>58</v>
      </c>
      <c r="F82" s="3" t="b">
        <f>TRUE()</f>
        <v>1</v>
      </c>
      <c r="G82" s="2" t="s">
        <v>56</v>
      </c>
      <c r="H82" s="2" t="str">
        <f t="shared" si="1"/>
        <v>claude|threshold_large|14</v>
      </c>
    </row>
    <row r="83" spans="1:8" x14ac:dyDescent="0.2">
      <c r="A83" s="2" t="s">
        <v>27</v>
      </c>
      <c r="B83" s="2" t="s">
        <v>31</v>
      </c>
      <c r="C83" s="2">
        <v>26</v>
      </c>
      <c r="D83" s="2" t="s">
        <v>69</v>
      </c>
      <c r="E83" s="2" t="s">
        <v>28</v>
      </c>
      <c r="F83" s="4" t="b">
        <f>FALSE()</f>
        <v>0</v>
      </c>
      <c r="G83" s="2" t="s">
        <v>57</v>
      </c>
      <c r="H83" s="2" t="str">
        <f t="shared" si="1"/>
        <v>claude|threshold_large|26</v>
      </c>
    </row>
    <row r="84" spans="1:8" x14ac:dyDescent="0.2">
      <c r="A84" s="2" t="s">
        <v>27</v>
      </c>
      <c r="B84" s="2" t="s">
        <v>31</v>
      </c>
      <c r="C84" s="2">
        <v>31</v>
      </c>
      <c r="D84" s="2" t="s">
        <v>69</v>
      </c>
      <c r="E84" s="2" t="s">
        <v>28</v>
      </c>
      <c r="F84" s="4" t="b">
        <f>FALSE()</f>
        <v>0</v>
      </c>
      <c r="G84" s="2" t="s">
        <v>59</v>
      </c>
      <c r="H84" s="2" t="str">
        <f t="shared" si="1"/>
        <v>claude|threshold_large|31</v>
      </c>
    </row>
    <row r="85" spans="1:8" x14ac:dyDescent="0.2">
      <c r="A85" s="2" t="s">
        <v>27</v>
      </c>
      <c r="B85" s="2" t="s">
        <v>31</v>
      </c>
      <c r="C85" s="2">
        <v>33</v>
      </c>
      <c r="D85" s="2" t="s">
        <v>69</v>
      </c>
      <c r="E85" s="2" t="s">
        <v>69</v>
      </c>
      <c r="F85" s="3" t="b">
        <f>TRUE()</f>
        <v>1</v>
      </c>
      <c r="G85" s="2" t="s">
        <v>60</v>
      </c>
      <c r="H85" s="2" t="str">
        <f t="shared" si="1"/>
        <v>claude|threshold_large|33</v>
      </c>
    </row>
    <row r="86" spans="1:8" x14ac:dyDescent="0.2">
      <c r="A86" s="2" t="s">
        <v>27</v>
      </c>
      <c r="B86" s="2" t="s">
        <v>31</v>
      </c>
      <c r="C86" s="2">
        <v>41</v>
      </c>
      <c r="D86" s="2" t="s">
        <v>69</v>
      </c>
      <c r="E86" s="2" t="s">
        <v>69</v>
      </c>
      <c r="F86" s="3" t="b">
        <f>TRUE()</f>
        <v>1</v>
      </c>
      <c r="G86" s="2" t="s">
        <v>61</v>
      </c>
      <c r="H86" s="2" t="str">
        <f t="shared" si="1"/>
        <v>claude|threshold_large|41</v>
      </c>
    </row>
    <row r="87" spans="1:8" x14ac:dyDescent="0.2">
      <c r="A87" s="2" t="s">
        <v>27</v>
      </c>
      <c r="B87" s="2" t="s">
        <v>31</v>
      </c>
      <c r="C87" s="2">
        <v>44</v>
      </c>
      <c r="D87" s="2" t="s">
        <v>69</v>
      </c>
      <c r="E87" s="2" t="s">
        <v>69</v>
      </c>
      <c r="F87" s="3" t="b">
        <f>TRUE()</f>
        <v>1</v>
      </c>
      <c r="G87" s="2" t="s">
        <v>63</v>
      </c>
      <c r="H87" s="2" t="str">
        <f t="shared" si="1"/>
        <v>claude|threshold_large|44</v>
      </c>
    </row>
    <row r="88" spans="1:8" x14ac:dyDescent="0.2">
      <c r="A88" s="2" t="s">
        <v>27</v>
      </c>
      <c r="B88" s="2" t="s">
        <v>31</v>
      </c>
      <c r="C88" s="2">
        <v>45</v>
      </c>
      <c r="D88" s="2" t="s">
        <v>69</v>
      </c>
      <c r="E88" s="2" t="s">
        <v>28</v>
      </c>
      <c r="F88" s="4" t="b">
        <f>FALSE()</f>
        <v>0</v>
      </c>
      <c r="G88" s="2" t="s">
        <v>64</v>
      </c>
      <c r="H88" s="2" t="str">
        <f t="shared" si="1"/>
        <v>claude|threshold_large|45</v>
      </c>
    </row>
    <row r="89" spans="1:8" x14ac:dyDescent="0.2">
      <c r="A89" s="2" t="s">
        <v>27</v>
      </c>
      <c r="B89" s="2" t="s">
        <v>31</v>
      </c>
      <c r="C89" s="2">
        <v>51</v>
      </c>
      <c r="D89" s="2" t="s">
        <v>69</v>
      </c>
      <c r="E89" s="2" t="s">
        <v>69</v>
      </c>
      <c r="F89" s="3" t="b">
        <f>TRUE()</f>
        <v>1</v>
      </c>
      <c r="G89" s="2" t="s">
        <v>65</v>
      </c>
      <c r="H89" s="2" t="str">
        <f t="shared" si="1"/>
        <v>claude|threshold_large|51</v>
      </c>
    </row>
    <row r="90" spans="1:8" x14ac:dyDescent="0.2">
      <c r="A90" s="2" t="s">
        <v>27</v>
      </c>
      <c r="B90" s="2" t="s">
        <v>31</v>
      </c>
      <c r="C90" s="2">
        <v>59</v>
      </c>
      <c r="D90" s="2" t="s">
        <v>69</v>
      </c>
      <c r="E90" s="2" t="s">
        <v>69</v>
      </c>
      <c r="F90" s="3" t="b">
        <f>TRUE()</f>
        <v>1</v>
      </c>
      <c r="G90" s="2" t="s">
        <v>66</v>
      </c>
      <c r="H90" s="2" t="str">
        <f t="shared" si="1"/>
        <v>claude|threshold_large|59</v>
      </c>
    </row>
    <row r="91" spans="1:8" x14ac:dyDescent="0.2">
      <c r="A91" s="2" t="s">
        <v>27</v>
      </c>
      <c r="B91" s="2" t="s">
        <v>31</v>
      </c>
      <c r="C91" s="2">
        <v>56</v>
      </c>
      <c r="D91" s="2" t="s">
        <v>69</v>
      </c>
      <c r="E91" s="2" t="s">
        <v>28</v>
      </c>
      <c r="F91" s="4" t="b">
        <f>FALSE()</f>
        <v>0</v>
      </c>
      <c r="G91" s="2" t="s">
        <v>67</v>
      </c>
      <c r="H91" s="2" t="str">
        <f t="shared" si="1"/>
        <v>claude|threshold_large|56</v>
      </c>
    </row>
    <row r="92" spans="1:8" x14ac:dyDescent="0.2">
      <c r="A92" s="2" t="s">
        <v>29</v>
      </c>
      <c r="B92" s="2" t="s">
        <v>31</v>
      </c>
      <c r="C92" s="2">
        <v>1</v>
      </c>
      <c r="D92" s="2" t="s">
        <v>58</v>
      </c>
      <c r="E92" s="2" t="s">
        <v>58</v>
      </c>
      <c r="F92" s="3" t="b">
        <f>TRUE()</f>
        <v>1</v>
      </c>
      <c r="G92" s="2" t="s">
        <v>50</v>
      </c>
      <c r="H92" s="2" t="str">
        <f t="shared" si="1"/>
        <v>gemini|threshold_large|1</v>
      </c>
    </row>
    <row r="93" spans="1:8" x14ac:dyDescent="0.2">
      <c r="A93" s="2" t="s">
        <v>29</v>
      </c>
      <c r="B93" s="2" t="s">
        <v>31</v>
      </c>
      <c r="C93" s="2">
        <v>2</v>
      </c>
      <c r="D93" s="2" t="s">
        <v>58</v>
      </c>
      <c r="E93" s="2" t="s">
        <v>58</v>
      </c>
      <c r="F93" s="3" t="b">
        <f>TRUE()</f>
        <v>1</v>
      </c>
      <c r="G93" s="2" t="s">
        <v>52</v>
      </c>
      <c r="H93" s="2" t="str">
        <f t="shared" si="1"/>
        <v>gemini|threshold_large|2</v>
      </c>
    </row>
    <row r="94" spans="1:8" x14ac:dyDescent="0.2">
      <c r="A94" s="2" t="s">
        <v>29</v>
      </c>
      <c r="B94" s="2" t="s">
        <v>31</v>
      </c>
      <c r="C94" s="2">
        <v>11</v>
      </c>
      <c r="D94" s="2" t="s">
        <v>58</v>
      </c>
      <c r="E94" s="2" t="s">
        <v>58</v>
      </c>
      <c r="F94" s="3" t="b">
        <f>TRUE()</f>
        <v>1</v>
      </c>
      <c r="G94" s="2" t="s">
        <v>53</v>
      </c>
      <c r="H94" s="2" t="str">
        <f t="shared" si="1"/>
        <v>gemini|threshold_large|11</v>
      </c>
    </row>
    <row r="95" spans="1:8" x14ac:dyDescent="0.2">
      <c r="A95" s="2" t="s">
        <v>29</v>
      </c>
      <c r="B95" s="2" t="s">
        <v>31</v>
      </c>
      <c r="C95" s="2">
        <v>12</v>
      </c>
      <c r="D95" s="2" t="s">
        <v>58</v>
      </c>
      <c r="E95" s="2" t="s">
        <v>58</v>
      </c>
      <c r="F95" s="3" t="b">
        <f>TRUE()</f>
        <v>1</v>
      </c>
      <c r="G95" s="2" t="s">
        <v>54</v>
      </c>
      <c r="H95" s="2" t="str">
        <f t="shared" si="1"/>
        <v>gemini|threshold_large|12</v>
      </c>
    </row>
    <row r="96" spans="1:8" x14ac:dyDescent="0.2">
      <c r="A96" s="2" t="s">
        <v>29</v>
      </c>
      <c r="B96" s="2" t="s">
        <v>31</v>
      </c>
      <c r="C96" s="2">
        <v>13</v>
      </c>
      <c r="D96" s="2" t="s">
        <v>58</v>
      </c>
      <c r="E96" s="2" t="s">
        <v>58</v>
      </c>
      <c r="F96" s="3" t="b">
        <f>TRUE()</f>
        <v>1</v>
      </c>
      <c r="G96" s="2" t="s">
        <v>55</v>
      </c>
      <c r="H96" s="2" t="str">
        <f t="shared" si="1"/>
        <v>gemini|threshold_large|13</v>
      </c>
    </row>
    <row r="97" spans="1:8" x14ac:dyDescent="0.2">
      <c r="A97" s="2" t="s">
        <v>29</v>
      </c>
      <c r="B97" s="2" t="s">
        <v>31</v>
      </c>
      <c r="C97" s="2">
        <v>14</v>
      </c>
      <c r="D97" s="2" t="s">
        <v>58</v>
      </c>
      <c r="E97" s="2" t="s">
        <v>58</v>
      </c>
      <c r="F97" s="3" t="b">
        <f>TRUE()</f>
        <v>1</v>
      </c>
      <c r="G97" s="2" t="s">
        <v>56</v>
      </c>
      <c r="H97" s="2" t="str">
        <f t="shared" si="1"/>
        <v>gemini|threshold_large|14</v>
      </c>
    </row>
    <row r="98" spans="1:8" x14ac:dyDescent="0.2">
      <c r="A98" s="2" t="s">
        <v>29</v>
      </c>
      <c r="B98" s="2" t="s">
        <v>31</v>
      </c>
      <c r="C98" s="2">
        <v>26</v>
      </c>
      <c r="D98" s="2" t="s">
        <v>69</v>
      </c>
      <c r="E98" s="2" t="s">
        <v>69</v>
      </c>
      <c r="F98" s="3" t="b">
        <f>TRUE()</f>
        <v>1</v>
      </c>
      <c r="G98" s="2" t="s">
        <v>57</v>
      </c>
      <c r="H98" s="2" t="str">
        <f t="shared" si="1"/>
        <v>gemini|threshold_large|26</v>
      </c>
    </row>
    <row r="99" spans="1:8" x14ac:dyDescent="0.2">
      <c r="A99" s="2" t="s">
        <v>29</v>
      </c>
      <c r="B99" s="2" t="s">
        <v>31</v>
      </c>
      <c r="C99" s="2">
        <v>31</v>
      </c>
      <c r="D99" s="2" t="s">
        <v>69</v>
      </c>
      <c r="E99" s="2" t="s">
        <v>69</v>
      </c>
      <c r="F99" s="3" t="b">
        <f>TRUE()</f>
        <v>1</v>
      </c>
      <c r="G99" s="2" t="s">
        <v>59</v>
      </c>
      <c r="H99" s="2" t="str">
        <f t="shared" si="1"/>
        <v>gemini|threshold_large|31</v>
      </c>
    </row>
    <row r="100" spans="1:8" x14ac:dyDescent="0.2">
      <c r="A100" s="2" t="s">
        <v>29</v>
      </c>
      <c r="B100" s="2" t="s">
        <v>31</v>
      </c>
      <c r="C100" s="2">
        <v>33</v>
      </c>
      <c r="D100" s="2" t="s">
        <v>69</v>
      </c>
      <c r="E100" s="2" t="s">
        <v>69</v>
      </c>
      <c r="F100" s="3" t="b">
        <f>TRUE()</f>
        <v>1</v>
      </c>
      <c r="G100" s="2" t="s">
        <v>60</v>
      </c>
      <c r="H100" s="2" t="str">
        <f t="shared" si="1"/>
        <v>gemini|threshold_large|33</v>
      </c>
    </row>
    <row r="101" spans="1:8" x14ac:dyDescent="0.2">
      <c r="A101" s="2" t="s">
        <v>29</v>
      </c>
      <c r="B101" s="2" t="s">
        <v>31</v>
      </c>
      <c r="C101" s="2">
        <v>41</v>
      </c>
      <c r="D101" s="2" t="s">
        <v>69</v>
      </c>
      <c r="E101" s="2" t="s">
        <v>69</v>
      </c>
      <c r="F101" s="3" t="b">
        <f>TRUE()</f>
        <v>1</v>
      </c>
      <c r="G101" s="2" t="s">
        <v>61</v>
      </c>
      <c r="H101" s="2" t="str">
        <f t="shared" si="1"/>
        <v>gemini|threshold_large|41</v>
      </c>
    </row>
    <row r="102" spans="1:8" x14ac:dyDescent="0.2">
      <c r="A102" s="2" t="s">
        <v>29</v>
      </c>
      <c r="B102" s="2" t="s">
        <v>31</v>
      </c>
      <c r="C102" s="2">
        <v>44</v>
      </c>
      <c r="D102" s="2" t="s">
        <v>69</v>
      </c>
      <c r="E102" s="2" t="s">
        <v>69</v>
      </c>
      <c r="F102" s="3" t="b">
        <f>TRUE()</f>
        <v>1</v>
      </c>
      <c r="G102" s="2" t="s">
        <v>63</v>
      </c>
      <c r="H102" s="2" t="str">
        <f t="shared" si="1"/>
        <v>gemini|threshold_large|44</v>
      </c>
    </row>
    <row r="103" spans="1:8" x14ac:dyDescent="0.2">
      <c r="A103" s="2" t="s">
        <v>29</v>
      </c>
      <c r="B103" s="2" t="s">
        <v>31</v>
      </c>
      <c r="C103" s="2">
        <v>45</v>
      </c>
      <c r="D103" s="2" t="s">
        <v>69</v>
      </c>
      <c r="E103" s="2" t="s">
        <v>69</v>
      </c>
      <c r="F103" s="3" t="b">
        <f>TRUE()</f>
        <v>1</v>
      </c>
      <c r="G103" s="2" t="s">
        <v>64</v>
      </c>
      <c r="H103" s="2" t="str">
        <f t="shared" si="1"/>
        <v>gemini|threshold_large|45</v>
      </c>
    </row>
    <row r="104" spans="1:8" x14ac:dyDescent="0.2">
      <c r="A104" s="2" t="s">
        <v>29</v>
      </c>
      <c r="B104" s="2" t="s">
        <v>31</v>
      </c>
      <c r="C104" s="2">
        <v>51</v>
      </c>
      <c r="D104" s="2" t="s">
        <v>69</v>
      </c>
      <c r="E104" s="2" t="s">
        <v>69</v>
      </c>
      <c r="F104" s="3" t="b">
        <f>TRUE()</f>
        <v>1</v>
      </c>
      <c r="G104" s="2" t="s">
        <v>65</v>
      </c>
      <c r="H104" s="2" t="str">
        <f t="shared" si="1"/>
        <v>gemini|threshold_large|51</v>
      </c>
    </row>
    <row r="105" spans="1:8" x14ac:dyDescent="0.2">
      <c r="A105" s="2" t="s">
        <v>29</v>
      </c>
      <c r="B105" s="2" t="s">
        <v>31</v>
      </c>
      <c r="C105" s="2">
        <v>59</v>
      </c>
      <c r="D105" s="2" t="s">
        <v>69</v>
      </c>
      <c r="E105" s="2" t="s">
        <v>69</v>
      </c>
      <c r="F105" s="3" t="b">
        <f>TRUE()</f>
        <v>1</v>
      </c>
      <c r="G105" s="2" t="s">
        <v>66</v>
      </c>
      <c r="H105" s="2" t="str">
        <f t="shared" si="1"/>
        <v>gemini|threshold_large|59</v>
      </c>
    </row>
    <row r="106" spans="1:8" x14ac:dyDescent="0.2">
      <c r="A106" s="2" t="s">
        <v>29</v>
      </c>
      <c r="B106" s="2" t="s">
        <v>31</v>
      </c>
      <c r="C106" s="2">
        <v>56</v>
      </c>
      <c r="D106" s="2" t="s">
        <v>69</v>
      </c>
      <c r="E106" s="2" t="s">
        <v>69</v>
      </c>
      <c r="F106" s="3" t="b">
        <f>TRUE()</f>
        <v>1</v>
      </c>
      <c r="G106" s="2" t="s">
        <v>67</v>
      </c>
      <c r="H106" s="2" t="str">
        <f t="shared" si="1"/>
        <v>gemini|threshold_large|56</v>
      </c>
    </row>
    <row r="107" spans="1:8" x14ac:dyDescent="0.2">
      <c r="A107" s="2" t="s">
        <v>30</v>
      </c>
      <c r="B107" s="2" t="s">
        <v>31</v>
      </c>
      <c r="C107" s="2">
        <v>1</v>
      </c>
      <c r="D107" s="2" t="s">
        <v>58</v>
      </c>
      <c r="E107" s="2" t="s">
        <v>28</v>
      </c>
      <c r="F107" s="4" t="b">
        <f>FALSE()</f>
        <v>0</v>
      </c>
      <c r="G107" s="2" t="s">
        <v>50</v>
      </c>
      <c r="H107" s="2" t="str">
        <f t="shared" si="1"/>
        <v>llama|threshold_large|1</v>
      </c>
    </row>
    <row r="108" spans="1:8" x14ac:dyDescent="0.2">
      <c r="A108" s="2" t="s">
        <v>30</v>
      </c>
      <c r="B108" s="2" t="s">
        <v>31</v>
      </c>
      <c r="C108" s="2">
        <v>2</v>
      </c>
      <c r="D108" s="2" t="s">
        <v>58</v>
      </c>
      <c r="E108" s="2" t="s">
        <v>28</v>
      </c>
      <c r="F108" s="4" t="b">
        <f>FALSE()</f>
        <v>0</v>
      </c>
      <c r="G108" s="2" t="s">
        <v>52</v>
      </c>
      <c r="H108" s="2" t="str">
        <f t="shared" si="1"/>
        <v>llama|threshold_large|2</v>
      </c>
    </row>
    <row r="109" spans="1:8" x14ac:dyDescent="0.2">
      <c r="A109" s="2" t="s">
        <v>30</v>
      </c>
      <c r="B109" s="2" t="s">
        <v>31</v>
      </c>
      <c r="C109" s="2">
        <v>11</v>
      </c>
      <c r="D109" s="2" t="s">
        <v>58</v>
      </c>
      <c r="E109" s="2" t="s">
        <v>28</v>
      </c>
      <c r="F109" s="4" t="b">
        <f>FALSE()</f>
        <v>0</v>
      </c>
      <c r="G109" s="2" t="s">
        <v>53</v>
      </c>
      <c r="H109" s="2" t="str">
        <f t="shared" si="1"/>
        <v>llama|threshold_large|11</v>
      </c>
    </row>
    <row r="110" spans="1:8" x14ac:dyDescent="0.2">
      <c r="A110" s="2" t="s">
        <v>30</v>
      </c>
      <c r="B110" s="2" t="s">
        <v>31</v>
      </c>
      <c r="C110" s="2">
        <v>12</v>
      </c>
      <c r="D110" s="2" t="s">
        <v>58</v>
      </c>
      <c r="E110" s="2" t="s">
        <v>28</v>
      </c>
      <c r="F110" s="4" t="b">
        <f>FALSE()</f>
        <v>0</v>
      </c>
      <c r="G110" s="2" t="s">
        <v>54</v>
      </c>
      <c r="H110" s="2" t="str">
        <f t="shared" si="1"/>
        <v>llama|threshold_large|12</v>
      </c>
    </row>
    <row r="111" spans="1:8" x14ac:dyDescent="0.2">
      <c r="A111" s="2" t="s">
        <v>30</v>
      </c>
      <c r="B111" s="2" t="s">
        <v>31</v>
      </c>
      <c r="C111" s="2">
        <v>13</v>
      </c>
      <c r="D111" s="2" t="s">
        <v>58</v>
      </c>
      <c r="E111" s="2" t="s">
        <v>28</v>
      </c>
      <c r="F111" s="4" t="b">
        <f>FALSE()</f>
        <v>0</v>
      </c>
      <c r="G111" s="2" t="s">
        <v>55</v>
      </c>
      <c r="H111" s="2" t="str">
        <f t="shared" si="1"/>
        <v>llama|threshold_large|13</v>
      </c>
    </row>
    <row r="112" spans="1:8" x14ac:dyDescent="0.2">
      <c r="A112" s="2" t="s">
        <v>30</v>
      </c>
      <c r="B112" s="2" t="s">
        <v>31</v>
      </c>
      <c r="C112" s="2">
        <v>14</v>
      </c>
      <c r="D112" s="2" t="s">
        <v>58</v>
      </c>
      <c r="E112" s="2" t="s">
        <v>28</v>
      </c>
      <c r="F112" s="4" t="b">
        <f>FALSE()</f>
        <v>0</v>
      </c>
      <c r="G112" s="2" t="s">
        <v>56</v>
      </c>
      <c r="H112" s="2" t="str">
        <f t="shared" si="1"/>
        <v>llama|threshold_large|14</v>
      </c>
    </row>
    <row r="113" spans="1:8" x14ac:dyDescent="0.2">
      <c r="A113" s="2" t="s">
        <v>30</v>
      </c>
      <c r="B113" s="2" t="s">
        <v>31</v>
      </c>
      <c r="C113" s="2">
        <v>26</v>
      </c>
      <c r="D113" s="2" t="s">
        <v>69</v>
      </c>
      <c r="E113" s="2" t="s">
        <v>28</v>
      </c>
      <c r="F113" s="4" t="b">
        <f>FALSE()</f>
        <v>0</v>
      </c>
      <c r="G113" s="2" t="s">
        <v>57</v>
      </c>
      <c r="H113" s="2" t="str">
        <f t="shared" si="1"/>
        <v>llama|threshold_large|26</v>
      </c>
    </row>
    <row r="114" spans="1:8" x14ac:dyDescent="0.2">
      <c r="A114" s="2" t="s">
        <v>30</v>
      </c>
      <c r="B114" s="2" t="s">
        <v>31</v>
      </c>
      <c r="C114" s="2">
        <v>31</v>
      </c>
      <c r="D114" s="2" t="s">
        <v>69</v>
      </c>
      <c r="E114" s="2" t="s">
        <v>28</v>
      </c>
      <c r="F114" s="4" t="b">
        <f>FALSE()</f>
        <v>0</v>
      </c>
      <c r="G114" s="2" t="s">
        <v>59</v>
      </c>
      <c r="H114" s="2" t="str">
        <f t="shared" si="1"/>
        <v>llama|threshold_large|31</v>
      </c>
    </row>
    <row r="115" spans="1:8" x14ac:dyDescent="0.2">
      <c r="A115" s="2" t="s">
        <v>30</v>
      </c>
      <c r="B115" s="2" t="s">
        <v>31</v>
      </c>
      <c r="C115" s="2">
        <v>33</v>
      </c>
      <c r="D115" s="2" t="s">
        <v>69</v>
      </c>
      <c r="E115" s="2" t="s">
        <v>28</v>
      </c>
      <c r="F115" s="4" t="b">
        <f>FALSE()</f>
        <v>0</v>
      </c>
      <c r="G115" s="2" t="s">
        <v>60</v>
      </c>
      <c r="H115" s="2" t="str">
        <f t="shared" si="1"/>
        <v>llama|threshold_large|33</v>
      </c>
    </row>
    <row r="116" spans="1:8" x14ac:dyDescent="0.2">
      <c r="A116" s="2" t="s">
        <v>30</v>
      </c>
      <c r="B116" s="2" t="s">
        <v>31</v>
      </c>
      <c r="C116" s="2">
        <v>41</v>
      </c>
      <c r="D116" s="2" t="s">
        <v>69</v>
      </c>
      <c r="E116" s="2" t="s">
        <v>28</v>
      </c>
      <c r="F116" s="4" t="b">
        <f>FALSE()</f>
        <v>0</v>
      </c>
      <c r="G116" s="2" t="s">
        <v>61</v>
      </c>
      <c r="H116" s="2" t="str">
        <f t="shared" si="1"/>
        <v>llama|threshold_large|41</v>
      </c>
    </row>
    <row r="117" spans="1:8" x14ac:dyDescent="0.2">
      <c r="A117" s="2" t="s">
        <v>30</v>
      </c>
      <c r="B117" s="2" t="s">
        <v>31</v>
      </c>
      <c r="C117" s="2">
        <v>44</v>
      </c>
      <c r="D117" s="2" t="s">
        <v>69</v>
      </c>
      <c r="E117" s="2" t="s">
        <v>28</v>
      </c>
      <c r="F117" s="4" t="b">
        <f>FALSE()</f>
        <v>0</v>
      </c>
      <c r="G117" s="2" t="s">
        <v>63</v>
      </c>
      <c r="H117" s="2" t="str">
        <f t="shared" si="1"/>
        <v>llama|threshold_large|44</v>
      </c>
    </row>
    <row r="118" spans="1:8" x14ac:dyDescent="0.2">
      <c r="A118" s="2" t="s">
        <v>30</v>
      </c>
      <c r="B118" s="2" t="s">
        <v>31</v>
      </c>
      <c r="C118" s="2">
        <v>45</v>
      </c>
      <c r="D118" s="2" t="s">
        <v>69</v>
      </c>
      <c r="E118" s="2" t="s">
        <v>28</v>
      </c>
      <c r="F118" s="4" t="b">
        <f>FALSE()</f>
        <v>0</v>
      </c>
      <c r="G118" s="2" t="s">
        <v>64</v>
      </c>
      <c r="H118" s="2" t="str">
        <f t="shared" si="1"/>
        <v>llama|threshold_large|45</v>
      </c>
    </row>
    <row r="119" spans="1:8" x14ac:dyDescent="0.2">
      <c r="A119" s="2" t="s">
        <v>30</v>
      </c>
      <c r="B119" s="2" t="s">
        <v>31</v>
      </c>
      <c r="C119" s="2">
        <v>51</v>
      </c>
      <c r="D119" s="2" t="s">
        <v>69</v>
      </c>
      <c r="E119" s="2" t="s">
        <v>28</v>
      </c>
      <c r="F119" s="4" t="b">
        <f>FALSE()</f>
        <v>0</v>
      </c>
      <c r="G119" s="2" t="s">
        <v>65</v>
      </c>
      <c r="H119" s="2" t="str">
        <f t="shared" si="1"/>
        <v>llama|threshold_large|51</v>
      </c>
    </row>
    <row r="120" spans="1:8" x14ac:dyDescent="0.2">
      <c r="A120" s="2" t="s">
        <v>30</v>
      </c>
      <c r="B120" s="2" t="s">
        <v>31</v>
      </c>
      <c r="C120" s="2">
        <v>59</v>
      </c>
      <c r="D120" s="2" t="s">
        <v>69</v>
      </c>
      <c r="E120" s="2" t="s">
        <v>28</v>
      </c>
      <c r="F120" s="4" t="b">
        <f>FALSE()</f>
        <v>0</v>
      </c>
      <c r="G120" s="2" t="s">
        <v>66</v>
      </c>
      <c r="H120" s="2" t="str">
        <f t="shared" si="1"/>
        <v>llama|threshold_large|59</v>
      </c>
    </row>
    <row r="121" spans="1:8" x14ac:dyDescent="0.2">
      <c r="A121" s="2" t="s">
        <v>30</v>
      </c>
      <c r="B121" s="2" t="s">
        <v>31</v>
      </c>
      <c r="C121" s="2">
        <v>56</v>
      </c>
      <c r="D121" s="2" t="s">
        <v>69</v>
      </c>
      <c r="E121" s="2" t="s">
        <v>28</v>
      </c>
      <c r="F121" s="4" t="b">
        <f>FALSE()</f>
        <v>0</v>
      </c>
      <c r="G121" s="2" t="s">
        <v>67</v>
      </c>
      <c r="H121" s="2" t="str">
        <f t="shared" si="1"/>
        <v>llama|threshold_large|56</v>
      </c>
    </row>
    <row r="122" spans="1:8" x14ac:dyDescent="0.2">
      <c r="A122" s="2" t="s">
        <v>8</v>
      </c>
      <c r="B122" s="2" t="s">
        <v>32</v>
      </c>
      <c r="C122" s="2">
        <v>1</v>
      </c>
      <c r="D122" s="2" t="s">
        <v>69</v>
      </c>
      <c r="E122" s="2" t="s">
        <v>69</v>
      </c>
      <c r="F122" s="3" t="b">
        <f>TRUE()</f>
        <v>1</v>
      </c>
      <c r="G122" s="2" t="s">
        <v>50</v>
      </c>
      <c r="H122" s="2" t="str">
        <f t="shared" si="1"/>
        <v>gpt|action|1</v>
      </c>
    </row>
    <row r="123" spans="1:8" x14ac:dyDescent="0.2">
      <c r="A123" s="2" t="s">
        <v>8</v>
      </c>
      <c r="B123" s="2" t="s">
        <v>32</v>
      </c>
      <c r="C123" s="2">
        <v>2</v>
      </c>
      <c r="D123" s="2" t="s">
        <v>69</v>
      </c>
      <c r="E123" s="2" t="s">
        <v>69</v>
      </c>
      <c r="F123" s="3" t="b">
        <f>TRUE()</f>
        <v>1</v>
      </c>
      <c r="G123" s="2" t="s">
        <v>52</v>
      </c>
      <c r="H123" s="2" t="str">
        <f t="shared" si="1"/>
        <v>gpt|action|2</v>
      </c>
    </row>
    <row r="124" spans="1:8" x14ac:dyDescent="0.2">
      <c r="A124" s="2" t="s">
        <v>8</v>
      </c>
      <c r="B124" s="2" t="s">
        <v>32</v>
      </c>
      <c r="C124" s="2">
        <v>11</v>
      </c>
      <c r="D124" s="2" t="s">
        <v>69</v>
      </c>
      <c r="E124" s="2" t="s">
        <v>69</v>
      </c>
      <c r="F124" s="3" t="b">
        <f>TRUE()</f>
        <v>1</v>
      </c>
      <c r="G124" s="2" t="s">
        <v>53</v>
      </c>
      <c r="H124" s="2" t="str">
        <f t="shared" si="1"/>
        <v>gpt|action|11</v>
      </c>
    </row>
    <row r="125" spans="1:8" x14ac:dyDescent="0.2">
      <c r="A125" s="2" t="s">
        <v>8</v>
      </c>
      <c r="B125" s="2" t="s">
        <v>32</v>
      </c>
      <c r="C125" s="2">
        <v>12</v>
      </c>
      <c r="D125" s="2" t="s">
        <v>49</v>
      </c>
      <c r="E125" s="2" t="s">
        <v>49</v>
      </c>
      <c r="F125" s="3" t="b">
        <f>TRUE()</f>
        <v>1</v>
      </c>
      <c r="G125" s="2" t="s">
        <v>54</v>
      </c>
      <c r="H125" s="2" t="str">
        <f t="shared" si="1"/>
        <v>gpt|action|12</v>
      </c>
    </row>
    <row r="126" spans="1:8" x14ac:dyDescent="0.2">
      <c r="A126" s="2" t="s">
        <v>8</v>
      </c>
      <c r="B126" s="2" t="s">
        <v>32</v>
      </c>
      <c r="C126" s="2">
        <v>13</v>
      </c>
      <c r="D126" s="2" t="s">
        <v>69</v>
      </c>
      <c r="E126" s="2" t="s">
        <v>69</v>
      </c>
      <c r="F126" s="3" t="b">
        <f>TRUE()</f>
        <v>1</v>
      </c>
      <c r="G126" s="2" t="s">
        <v>55</v>
      </c>
      <c r="H126" s="2" t="str">
        <f t="shared" si="1"/>
        <v>gpt|action|13</v>
      </c>
    </row>
    <row r="127" spans="1:8" x14ac:dyDescent="0.2">
      <c r="A127" s="2" t="s">
        <v>8</v>
      </c>
      <c r="B127" s="2" t="s">
        <v>32</v>
      </c>
      <c r="C127" s="2">
        <v>14</v>
      </c>
      <c r="D127" s="2" t="s">
        <v>49</v>
      </c>
      <c r="E127" s="2" t="s">
        <v>49</v>
      </c>
      <c r="F127" s="3" t="b">
        <f>TRUE()</f>
        <v>1</v>
      </c>
      <c r="G127" s="2" t="s">
        <v>56</v>
      </c>
      <c r="H127" s="2" t="str">
        <f t="shared" si="1"/>
        <v>gpt|action|14</v>
      </c>
    </row>
    <row r="128" spans="1:8" x14ac:dyDescent="0.2">
      <c r="A128" s="2" t="s">
        <v>8</v>
      </c>
      <c r="B128" s="2" t="s">
        <v>32</v>
      </c>
      <c r="C128" s="2">
        <v>26</v>
      </c>
      <c r="D128" s="2" t="s">
        <v>49</v>
      </c>
      <c r="E128" s="2" t="s">
        <v>49</v>
      </c>
      <c r="F128" s="3" t="b">
        <f>TRUE()</f>
        <v>1</v>
      </c>
      <c r="G128" s="2" t="s">
        <v>57</v>
      </c>
      <c r="H128" s="2" t="str">
        <f t="shared" si="1"/>
        <v>gpt|action|26</v>
      </c>
    </row>
    <row r="129" spans="1:8" x14ac:dyDescent="0.2">
      <c r="A129" s="2" t="s">
        <v>8</v>
      </c>
      <c r="B129" s="2" t="s">
        <v>32</v>
      </c>
      <c r="C129" s="2">
        <v>31</v>
      </c>
      <c r="D129" s="2" t="s">
        <v>49</v>
      </c>
      <c r="E129" s="2" t="s">
        <v>49</v>
      </c>
      <c r="F129" s="3" t="b">
        <f>TRUE()</f>
        <v>1</v>
      </c>
      <c r="G129" s="2" t="s">
        <v>59</v>
      </c>
      <c r="H129" s="2" t="str">
        <f t="shared" si="1"/>
        <v>gpt|action|31</v>
      </c>
    </row>
    <row r="130" spans="1:8" x14ac:dyDescent="0.2">
      <c r="A130" s="2" t="s">
        <v>8</v>
      </c>
      <c r="B130" s="2" t="s">
        <v>32</v>
      </c>
      <c r="C130" s="2">
        <v>33</v>
      </c>
      <c r="D130" s="2" t="s">
        <v>49</v>
      </c>
      <c r="E130" s="2" t="s">
        <v>49</v>
      </c>
      <c r="F130" s="3" t="b">
        <f>TRUE()</f>
        <v>1</v>
      </c>
      <c r="G130" s="2" t="s">
        <v>60</v>
      </c>
      <c r="H130" s="2" t="str">
        <f t="shared" ref="H130:H181" si="2">A130&amp;"|"&amp;B130&amp;"|"&amp;C130</f>
        <v>gpt|action|33</v>
      </c>
    </row>
    <row r="131" spans="1:8" x14ac:dyDescent="0.2">
      <c r="A131" s="2" t="s">
        <v>8</v>
      </c>
      <c r="B131" s="2" t="s">
        <v>32</v>
      </c>
      <c r="C131" s="2">
        <v>41</v>
      </c>
      <c r="D131" s="2" t="s">
        <v>49</v>
      </c>
      <c r="E131" s="2" t="s">
        <v>49</v>
      </c>
      <c r="F131" s="3" t="b">
        <f>TRUE()</f>
        <v>1</v>
      </c>
      <c r="G131" s="2" t="s">
        <v>61</v>
      </c>
      <c r="H131" s="2" t="str">
        <f t="shared" si="2"/>
        <v>gpt|action|41</v>
      </c>
    </row>
    <row r="132" spans="1:8" x14ac:dyDescent="0.2">
      <c r="A132" s="2" t="s">
        <v>8</v>
      </c>
      <c r="B132" s="2" t="s">
        <v>32</v>
      </c>
      <c r="C132" s="2">
        <v>44</v>
      </c>
      <c r="D132" s="2" t="s">
        <v>49</v>
      </c>
      <c r="E132" s="2" t="s">
        <v>49</v>
      </c>
      <c r="F132" s="3" t="b">
        <f>TRUE()</f>
        <v>1</v>
      </c>
      <c r="G132" s="2" t="s">
        <v>63</v>
      </c>
      <c r="H132" s="2" t="str">
        <f t="shared" si="2"/>
        <v>gpt|action|44</v>
      </c>
    </row>
    <row r="133" spans="1:8" x14ac:dyDescent="0.2">
      <c r="A133" s="2" t="s">
        <v>8</v>
      </c>
      <c r="B133" s="2" t="s">
        <v>32</v>
      </c>
      <c r="C133" s="2">
        <v>45</v>
      </c>
      <c r="D133" s="2" t="s">
        <v>49</v>
      </c>
      <c r="E133" s="2" t="s">
        <v>49</v>
      </c>
      <c r="F133" s="3" t="b">
        <f>TRUE()</f>
        <v>1</v>
      </c>
      <c r="G133" s="2" t="s">
        <v>64</v>
      </c>
      <c r="H133" s="2" t="str">
        <f t="shared" si="2"/>
        <v>gpt|action|45</v>
      </c>
    </row>
    <row r="134" spans="1:8" x14ac:dyDescent="0.2">
      <c r="A134" s="2" t="s">
        <v>8</v>
      </c>
      <c r="B134" s="2" t="s">
        <v>32</v>
      </c>
      <c r="C134" s="2">
        <v>51</v>
      </c>
      <c r="D134" s="2" t="s">
        <v>49</v>
      </c>
      <c r="E134" s="2" t="s">
        <v>49</v>
      </c>
      <c r="F134" s="3" t="b">
        <f>TRUE()</f>
        <v>1</v>
      </c>
      <c r="G134" s="2" t="s">
        <v>65</v>
      </c>
      <c r="H134" s="2" t="str">
        <f t="shared" si="2"/>
        <v>gpt|action|51</v>
      </c>
    </row>
    <row r="135" spans="1:8" x14ac:dyDescent="0.2">
      <c r="A135" s="2" t="s">
        <v>8</v>
      </c>
      <c r="B135" s="2" t="s">
        <v>32</v>
      </c>
      <c r="C135" s="2">
        <v>59</v>
      </c>
      <c r="D135" s="2" t="s">
        <v>49</v>
      </c>
      <c r="E135" s="2" t="s">
        <v>49</v>
      </c>
      <c r="F135" s="3" t="b">
        <f>TRUE()</f>
        <v>1</v>
      </c>
      <c r="G135" s="2" t="s">
        <v>66</v>
      </c>
      <c r="H135" s="2" t="str">
        <f t="shared" si="2"/>
        <v>gpt|action|59</v>
      </c>
    </row>
    <row r="136" spans="1:8" x14ac:dyDescent="0.2">
      <c r="A136" s="2" t="s">
        <v>8</v>
      </c>
      <c r="B136" s="2" t="s">
        <v>32</v>
      </c>
      <c r="C136" s="2">
        <v>56</v>
      </c>
      <c r="D136" s="2" t="s">
        <v>49</v>
      </c>
      <c r="E136" s="2" t="s">
        <v>49</v>
      </c>
      <c r="F136" s="3" t="b">
        <f>TRUE()</f>
        <v>1</v>
      </c>
      <c r="G136" s="2" t="s">
        <v>67</v>
      </c>
      <c r="H136" s="2" t="str">
        <f t="shared" si="2"/>
        <v>gpt|action|56</v>
      </c>
    </row>
    <row r="137" spans="1:8" x14ac:dyDescent="0.2">
      <c r="A137" s="2" t="s">
        <v>27</v>
      </c>
      <c r="B137" s="2" t="s">
        <v>32</v>
      </c>
      <c r="C137" s="2">
        <v>1</v>
      </c>
      <c r="D137" s="2" t="s">
        <v>69</v>
      </c>
      <c r="E137" s="2" t="s">
        <v>69</v>
      </c>
      <c r="F137" s="3" t="b">
        <f>TRUE()</f>
        <v>1</v>
      </c>
      <c r="G137" s="2" t="s">
        <v>50</v>
      </c>
      <c r="H137" s="2" t="str">
        <f t="shared" si="2"/>
        <v>claude|action|1</v>
      </c>
    </row>
    <row r="138" spans="1:8" x14ac:dyDescent="0.2">
      <c r="A138" s="2" t="s">
        <v>27</v>
      </c>
      <c r="B138" s="2" t="s">
        <v>32</v>
      </c>
      <c r="C138" s="2">
        <v>2</v>
      </c>
      <c r="D138" s="2" t="s">
        <v>69</v>
      </c>
      <c r="E138" s="2" t="s">
        <v>28</v>
      </c>
      <c r="F138" s="4" t="b">
        <f>FALSE()</f>
        <v>0</v>
      </c>
      <c r="G138" s="2" t="s">
        <v>52</v>
      </c>
      <c r="H138" s="2" t="str">
        <f t="shared" si="2"/>
        <v>claude|action|2</v>
      </c>
    </row>
    <row r="139" spans="1:8" x14ac:dyDescent="0.2">
      <c r="A139" s="2" t="s">
        <v>27</v>
      </c>
      <c r="B139" s="2" t="s">
        <v>32</v>
      </c>
      <c r="C139" s="2">
        <v>11</v>
      </c>
      <c r="D139" s="2" t="s">
        <v>69</v>
      </c>
      <c r="E139" s="2" t="s">
        <v>28</v>
      </c>
      <c r="F139" s="4" t="b">
        <f>FALSE()</f>
        <v>0</v>
      </c>
      <c r="G139" s="2" t="s">
        <v>53</v>
      </c>
      <c r="H139" s="2" t="str">
        <f t="shared" si="2"/>
        <v>claude|action|11</v>
      </c>
    </row>
    <row r="140" spans="1:8" x14ac:dyDescent="0.2">
      <c r="A140" s="2" t="s">
        <v>27</v>
      </c>
      <c r="B140" s="2" t="s">
        <v>32</v>
      </c>
      <c r="C140" s="2">
        <v>12</v>
      </c>
      <c r="D140" s="2" t="s">
        <v>49</v>
      </c>
      <c r="E140" s="2" t="s">
        <v>28</v>
      </c>
      <c r="F140" s="4" t="b">
        <f>FALSE()</f>
        <v>0</v>
      </c>
      <c r="G140" s="2" t="s">
        <v>54</v>
      </c>
      <c r="H140" s="2" t="str">
        <f t="shared" si="2"/>
        <v>claude|action|12</v>
      </c>
    </row>
    <row r="141" spans="1:8" x14ac:dyDescent="0.2">
      <c r="A141" s="2" t="s">
        <v>27</v>
      </c>
      <c r="B141" s="2" t="s">
        <v>32</v>
      </c>
      <c r="C141" s="2">
        <v>13</v>
      </c>
      <c r="D141" s="2" t="s">
        <v>69</v>
      </c>
      <c r="E141" s="2" t="s">
        <v>28</v>
      </c>
      <c r="F141" s="4" t="b">
        <f>FALSE()</f>
        <v>0</v>
      </c>
      <c r="G141" s="2" t="s">
        <v>55</v>
      </c>
      <c r="H141" s="2" t="str">
        <f t="shared" si="2"/>
        <v>claude|action|13</v>
      </c>
    </row>
    <row r="142" spans="1:8" x14ac:dyDescent="0.2">
      <c r="A142" s="2" t="s">
        <v>27</v>
      </c>
      <c r="B142" s="2" t="s">
        <v>32</v>
      </c>
      <c r="C142" s="2">
        <v>14</v>
      </c>
      <c r="D142" s="2" t="s">
        <v>49</v>
      </c>
      <c r="E142" s="2" t="s">
        <v>28</v>
      </c>
      <c r="F142" s="4" t="b">
        <f>FALSE()</f>
        <v>0</v>
      </c>
      <c r="G142" s="2" t="s">
        <v>56</v>
      </c>
      <c r="H142" s="2" t="str">
        <f t="shared" si="2"/>
        <v>claude|action|14</v>
      </c>
    </row>
    <row r="143" spans="1:8" x14ac:dyDescent="0.2">
      <c r="A143" s="2" t="s">
        <v>27</v>
      </c>
      <c r="B143" s="2" t="s">
        <v>32</v>
      </c>
      <c r="C143" s="2">
        <v>26</v>
      </c>
      <c r="D143" s="2" t="s">
        <v>49</v>
      </c>
      <c r="E143" s="2" t="s">
        <v>49</v>
      </c>
      <c r="F143" s="3" t="b">
        <f>TRUE()</f>
        <v>1</v>
      </c>
      <c r="G143" s="2" t="s">
        <v>57</v>
      </c>
      <c r="H143" s="2" t="str">
        <f t="shared" si="2"/>
        <v>claude|action|26</v>
      </c>
    </row>
    <row r="144" spans="1:8" x14ac:dyDescent="0.2">
      <c r="A144" s="2" t="s">
        <v>27</v>
      </c>
      <c r="B144" s="2" t="s">
        <v>32</v>
      </c>
      <c r="C144" s="2">
        <v>31</v>
      </c>
      <c r="D144" s="2" t="s">
        <v>49</v>
      </c>
      <c r="E144" s="2" t="s">
        <v>28</v>
      </c>
      <c r="F144" s="4" t="b">
        <f>FALSE()</f>
        <v>0</v>
      </c>
      <c r="G144" s="2" t="s">
        <v>59</v>
      </c>
      <c r="H144" s="2" t="str">
        <f t="shared" si="2"/>
        <v>claude|action|31</v>
      </c>
    </row>
    <row r="145" spans="1:8" x14ac:dyDescent="0.2">
      <c r="A145" s="2" t="s">
        <v>27</v>
      </c>
      <c r="B145" s="2" t="s">
        <v>32</v>
      </c>
      <c r="C145" s="2">
        <v>33</v>
      </c>
      <c r="D145" s="2" t="s">
        <v>49</v>
      </c>
      <c r="E145" s="2" t="s">
        <v>28</v>
      </c>
      <c r="F145" s="4" t="b">
        <f>FALSE()</f>
        <v>0</v>
      </c>
      <c r="G145" s="2" t="s">
        <v>60</v>
      </c>
      <c r="H145" s="2" t="str">
        <f t="shared" si="2"/>
        <v>claude|action|33</v>
      </c>
    </row>
    <row r="146" spans="1:8" x14ac:dyDescent="0.2">
      <c r="A146" s="2" t="s">
        <v>27</v>
      </c>
      <c r="B146" s="2" t="s">
        <v>32</v>
      </c>
      <c r="C146" s="2">
        <v>41</v>
      </c>
      <c r="D146" s="2" t="s">
        <v>49</v>
      </c>
      <c r="E146" s="2" t="s">
        <v>49</v>
      </c>
      <c r="F146" s="3" t="b">
        <f>TRUE()</f>
        <v>1</v>
      </c>
      <c r="G146" s="2" t="s">
        <v>61</v>
      </c>
      <c r="H146" s="2" t="str">
        <f t="shared" si="2"/>
        <v>claude|action|41</v>
      </c>
    </row>
    <row r="147" spans="1:8" x14ac:dyDescent="0.2">
      <c r="A147" s="2" t="s">
        <v>27</v>
      </c>
      <c r="B147" s="2" t="s">
        <v>32</v>
      </c>
      <c r="C147" s="2">
        <v>44</v>
      </c>
      <c r="D147" s="2" t="s">
        <v>49</v>
      </c>
      <c r="E147" s="2" t="s">
        <v>28</v>
      </c>
      <c r="F147" s="4" t="b">
        <f>FALSE()</f>
        <v>0</v>
      </c>
      <c r="G147" s="2" t="s">
        <v>63</v>
      </c>
      <c r="H147" s="2" t="str">
        <f t="shared" si="2"/>
        <v>claude|action|44</v>
      </c>
    </row>
    <row r="148" spans="1:8" x14ac:dyDescent="0.2">
      <c r="A148" s="2" t="s">
        <v>27</v>
      </c>
      <c r="B148" s="2" t="s">
        <v>32</v>
      </c>
      <c r="C148" s="2">
        <v>45</v>
      </c>
      <c r="D148" s="2" t="s">
        <v>49</v>
      </c>
      <c r="E148" s="2" t="s">
        <v>28</v>
      </c>
      <c r="F148" s="4" t="b">
        <f>FALSE()</f>
        <v>0</v>
      </c>
      <c r="G148" s="2" t="s">
        <v>64</v>
      </c>
      <c r="H148" s="2" t="str">
        <f t="shared" si="2"/>
        <v>claude|action|45</v>
      </c>
    </row>
    <row r="149" spans="1:8" x14ac:dyDescent="0.2">
      <c r="A149" s="2" t="s">
        <v>27</v>
      </c>
      <c r="B149" s="2" t="s">
        <v>32</v>
      </c>
      <c r="C149" s="2">
        <v>51</v>
      </c>
      <c r="D149" s="2" t="s">
        <v>49</v>
      </c>
      <c r="E149" s="2" t="s">
        <v>49</v>
      </c>
      <c r="F149" s="3" t="b">
        <f>TRUE()</f>
        <v>1</v>
      </c>
      <c r="G149" s="2" t="s">
        <v>65</v>
      </c>
      <c r="H149" s="2" t="str">
        <f t="shared" si="2"/>
        <v>claude|action|51</v>
      </c>
    </row>
    <row r="150" spans="1:8" x14ac:dyDescent="0.2">
      <c r="A150" s="2" t="s">
        <v>27</v>
      </c>
      <c r="B150" s="2" t="s">
        <v>32</v>
      </c>
      <c r="C150" s="2">
        <v>59</v>
      </c>
      <c r="D150" s="2" t="s">
        <v>49</v>
      </c>
      <c r="E150" s="2" t="s">
        <v>28</v>
      </c>
      <c r="F150" s="4" t="b">
        <f>FALSE()</f>
        <v>0</v>
      </c>
      <c r="G150" s="2" t="s">
        <v>66</v>
      </c>
      <c r="H150" s="2" t="str">
        <f t="shared" si="2"/>
        <v>claude|action|59</v>
      </c>
    </row>
    <row r="151" spans="1:8" x14ac:dyDescent="0.2">
      <c r="A151" s="2" t="s">
        <v>27</v>
      </c>
      <c r="B151" s="2" t="s">
        <v>32</v>
      </c>
      <c r="C151" s="2">
        <v>56</v>
      </c>
      <c r="D151" s="2" t="s">
        <v>49</v>
      </c>
      <c r="E151" s="2" t="s">
        <v>28</v>
      </c>
      <c r="F151" s="4" t="b">
        <f>FALSE()</f>
        <v>0</v>
      </c>
      <c r="G151" s="2" t="s">
        <v>67</v>
      </c>
      <c r="H151" s="2" t="str">
        <f t="shared" si="2"/>
        <v>claude|action|56</v>
      </c>
    </row>
    <row r="152" spans="1:8" x14ac:dyDescent="0.2">
      <c r="A152" s="2" t="s">
        <v>29</v>
      </c>
      <c r="B152" s="2" t="s">
        <v>32</v>
      </c>
      <c r="C152" s="2">
        <v>1</v>
      </c>
      <c r="D152" s="2" t="s">
        <v>69</v>
      </c>
      <c r="E152" s="2" t="s">
        <v>69</v>
      </c>
      <c r="F152" s="3" t="b">
        <f>TRUE()</f>
        <v>1</v>
      </c>
      <c r="G152" s="2" t="s">
        <v>50</v>
      </c>
      <c r="H152" s="2" t="str">
        <f t="shared" si="2"/>
        <v>gemini|action|1</v>
      </c>
    </row>
    <row r="153" spans="1:8" x14ac:dyDescent="0.2">
      <c r="A153" s="2" t="s">
        <v>29</v>
      </c>
      <c r="B153" s="2" t="s">
        <v>32</v>
      </c>
      <c r="C153" s="2">
        <v>2</v>
      </c>
      <c r="D153" s="2" t="s">
        <v>69</v>
      </c>
      <c r="E153" s="2" t="s">
        <v>69</v>
      </c>
      <c r="F153" s="3" t="b">
        <f>TRUE()</f>
        <v>1</v>
      </c>
      <c r="G153" s="2" t="s">
        <v>52</v>
      </c>
      <c r="H153" s="2" t="str">
        <f t="shared" si="2"/>
        <v>gemini|action|2</v>
      </c>
    </row>
    <row r="154" spans="1:8" x14ac:dyDescent="0.2">
      <c r="A154" s="2" t="s">
        <v>29</v>
      </c>
      <c r="B154" s="2" t="s">
        <v>32</v>
      </c>
      <c r="C154" s="2">
        <v>11</v>
      </c>
      <c r="D154" s="2" t="s">
        <v>69</v>
      </c>
      <c r="E154" s="2" t="s">
        <v>69</v>
      </c>
      <c r="F154" s="3" t="b">
        <f>TRUE()</f>
        <v>1</v>
      </c>
      <c r="G154" s="2" t="s">
        <v>53</v>
      </c>
      <c r="H154" s="2" t="str">
        <f t="shared" si="2"/>
        <v>gemini|action|11</v>
      </c>
    </row>
    <row r="155" spans="1:8" x14ac:dyDescent="0.2">
      <c r="A155" s="2" t="s">
        <v>29</v>
      </c>
      <c r="B155" s="2" t="s">
        <v>32</v>
      </c>
      <c r="C155" s="2">
        <v>12</v>
      </c>
      <c r="D155" s="2" t="s">
        <v>49</v>
      </c>
      <c r="E155" s="2" t="s">
        <v>69</v>
      </c>
      <c r="F155" s="4" t="b">
        <f>FALSE()</f>
        <v>0</v>
      </c>
      <c r="G155" s="2" t="s">
        <v>54</v>
      </c>
      <c r="H155" s="2" t="str">
        <f t="shared" si="2"/>
        <v>gemini|action|12</v>
      </c>
    </row>
    <row r="156" spans="1:8" x14ac:dyDescent="0.2">
      <c r="A156" s="2" t="s">
        <v>29</v>
      </c>
      <c r="B156" s="2" t="s">
        <v>32</v>
      </c>
      <c r="C156" s="2">
        <v>13</v>
      </c>
      <c r="D156" s="2" t="s">
        <v>69</v>
      </c>
      <c r="E156" s="2" t="s">
        <v>69</v>
      </c>
      <c r="F156" s="3" t="b">
        <f>TRUE()</f>
        <v>1</v>
      </c>
      <c r="G156" s="2" t="s">
        <v>55</v>
      </c>
      <c r="H156" s="2" t="str">
        <f t="shared" si="2"/>
        <v>gemini|action|13</v>
      </c>
    </row>
    <row r="157" spans="1:8" x14ac:dyDescent="0.2">
      <c r="A157" s="2" t="s">
        <v>29</v>
      </c>
      <c r="B157" s="2" t="s">
        <v>32</v>
      </c>
      <c r="C157" s="2">
        <v>14</v>
      </c>
      <c r="D157" s="2" t="s">
        <v>49</v>
      </c>
      <c r="E157" s="2" t="s">
        <v>69</v>
      </c>
      <c r="F157" s="4" t="b">
        <f>FALSE()</f>
        <v>0</v>
      </c>
      <c r="G157" s="2" t="s">
        <v>56</v>
      </c>
      <c r="H157" s="2" t="str">
        <f t="shared" si="2"/>
        <v>gemini|action|14</v>
      </c>
    </row>
    <row r="158" spans="1:8" x14ac:dyDescent="0.2">
      <c r="A158" s="2" t="s">
        <v>29</v>
      </c>
      <c r="B158" s="2" t="s">
        <v>32</v>
      </c>
      <c r="C158" s="2">
        <v>26</v>
      </c>
      <c r="D158" s="2" t="s">
        <v>49</v>
      </c>
      <c r="E158" s="2" t="s">
        <v>49</v>
      </c>
      <c r="F158" s="3" t="b">
        <f>TRUE()</f>
        <v>1</v>
      </c>
      <c r="G158" s="2" t="s">
        <v>57</v>
      </c>
      <c r="H158" s="2" t="str">
        <f t="shared" si="2"/>
        <v>gemini|action|26</v>
      </c>
    </row>
    <row r="159" spans="1:8" x14ac:dyDescent="0.2">
      <c r="A159" s="2" t="s">
        <v>29</v>
      </c>
      <c r="B159" s="2" t="s">
        <v>32</v>
      </c>
      <c r="C159" s="2">
        <v>31</v>
      </c>
      <c r="D159" s="2" t="s">
        <v>49</v>
      </c>
      <c r="E159" s="2" t="s">
        <v>49</v>
      </c>
      <c r="F159" s="3" t="b">
        <f>TRUE()</f>
        <v>1</v>
      </c>
      <c r="G159" s="2" t="s">
        <v>59</v>
      </c>
      <c r="H159" s="2" t="str">
        <f t="shared" si="2"/>
        <v>gemini|action|31</v>
      </c>
    </row>
    <row r="160" spans="1:8" x14ac:dyDescent="0.2">
      <c r="A160" s="2" t="s">
        <v>29</v>
      </c>
      <c r="B160" s="2" t="s">
        <v>32</v>
      </c>
      <c r="C160" s="2">
        <v>33</v>
      </c>
      <c r="D160" s="2" t="s">
        <v>49</v>
      </c>
      <c r="E160" s="2" t="s">
        <v>49</v>
      </c>
      <c r="F160" s="3" t="b">
        <f>TRUE()</f>
        <v>1</v>
      </c>
      <c r="G160" s="2" t="s">
        <v>60</v>
      </c>
      <c r="H160" s="2" t="str">
        <f t="shared" si="2"/>
        <v>gemini|action|33</v>
      </c>
    </row>
    <row r="161" spans="1:8" x14ac:dyDescent="0.2">
      <c r="A161" s="2" t="s">
        <v>29</v>
      </c>
      <c r="B161" s="2" t="s">
        <v>32</v>
      </c>
      <c r="C161" s="2">
        <v>41</v>
      </c>
      <c r="D161" s="2" t="s">
        <v>49</v>
      </c>
      <c r="E161" s="2" t="s">
        <v>49</v>
      </c>
      <c r="F161" s="3" t="b">
        <f>TRUE()</f>
        <v>1</v>
      </c>
      <c r="G161" s="2" t="s">
        <v>61</v>
      </c>
      <c r="H161" s="2" t="str">
        <f t="shared" si="2"/>
        <v>gemini|action|41</v>
      </c>
    </row>
    <row r="162" spans="1:8" x14ac:dyDescent="0.2">
      <c r="A162" s="2" t="s">
        <v>29</v>
      </c>
      <c r="B162" s="2" t="s">
        <v>32</v>
      </c>
      <c r="C162" s="2">
        <v>44</v>
      </c>
      <c r="D162" s="2" t="s">
        <v>49</v>
      </c>
      <c r="E162" s="2" t="s">
        <v>49</v>
      </c>
      <c r="F162" s="3" t="b">
        <f>TRUE()</f>
        <v>1</v>
      </c>
      <c r="G162" s="2" t="s">
        <v>63</v>
      </c>
      <c r="H162" s="2" t="str">
        <f t="shared" si="2"/>
        <v>gemini|action|44</v>
      </c>
    </row>
    <row r="163" spans="1:8" x14ac:dyDescent="0.2">
      <c r="A163" s="2" t="s">
        <v>29</v>
      </c>
      <c r="B163" s="2" t="s">
        <v>32</v>
      </c>
      <c r="C163" s="2">
        <v>45</v>
      </c>
      <c r="D163" s="2" t="s">
        <v>49</v>
      </c>
      <c r="E163" s="2" t="s">
        <v>69</v>
      </c>
      <c r="F163" s="4" t="b">
        <f>FALSE()</f>
        <v>0</v>
      </c>
      <c r="G163" s="2" t="s">
        <v>64</v>
      </c>
      <c r="H163" s="2" t="str">
        <f t="shared" si="2"/>
        <v>gemini|action|45</v>
      </c>
    </row>
    <row r="164" spans="1:8" x14ac:dyDescent="0.2">
      <c r="A164" s="2" t="s">
        <v>29</v>
      </c>
      <c r="B164" s="2" t="s">
        <v>32</v>
      </c>
      <c r="C164" s="2">
        <v>51</v>
      </c>
      <c r="D164" s="2" t="s">
        <v>49</v>
      </c>
      <c r="E164" s="2" t="s">
        <v>49</v>
      </c>
      <c r="F164" s="3" t="b">
        <f>TRUE()</f>
        <v>1</v>
      </c>
      <c r="G164" s="2" t="s">
        <v>65</v>
      </c>
      <c r="H164" s="2" t="str">
        <f t="shared" si="2"/>
        <v>gemini|action|51</v>
      </c>
    </row>
    <row r="165" spans="1:8" x14ac:dyDescent="0.2">
      <c r="A165" s="2" t="s">
        <v>29</v>
      </c>
      <c r="B165" s="2" t="s">
        <v>32</v>
      </c>
      <c r="C165" s="2">
        <v>59</v>
      </c>
      <c r="D165" s="2" t="s">
        <v>49</v>
      </c>
      <c r="E165" s="2" t="s">
        <v>49</v>
      </c>
      <c r="F165" s="3" t="b">
        <f>TRUE()</f>
        <v>1</v>
      </c>
      <c r="G165" s="2" t="s">
        <v>66</v>
      </c>
      <c r="H165" s="2" t="str">
        <f t="shared" si="2"/>
        <v>gemini|action|59</v>
      </c>
    </row>
    <row r="166" spans="1:8" x14ac:dyDescent="0.2">
      <c r="A166" s="2" t="s">
        <v>29</v>
      </c>
      <c r="B166" s="2" t="s">
        <v>32</v>
      </c>
      <c r="C166" s="2">
        <v>56</v>
      </c>
      <c r="D166" s="2" t="s">
        <v>49</v>
      </c>
      <c r="E166" s="2" t="s">
        <v>69</v>
      </c>
      <c r="F166" s="4" t="b">
        <f>FALSE()</f>
        <v>0</v>
      </c>
      <c r="G166" s="2" t="s">
        <v>67</v>
      </c>
      <c r="H166" s="2" t="str">
        <f t="shared" si="2"/>
        <v>gemini|action|56</v>
      </c>
    </row>
    <row r="167" spans="1:8" x14ac:dyDescent="0.2">
      <c r="A167" s="2" t="s">
        <v>30</v>
      </c>
      <c r="B167" s="2" t="s">
        <v>32</v>
      </c>
      <c r="C167" s="2">
        <v>1</v>
      </c>
      <c r="D167" s="2" t="s">
        <v>69</v>
      </c>
      <c r="E167" s="2" t="s">
        <v>28</v>
      </c>
      <c r="F167" s="4" t="b">
        <f>FALSE()</f>
        <v>0</v>
      </c>
      <c r="G167" s="2" t="s">
        <v>50</v>
      </c>
      <c r="H167" s="2" t="str">
        <f t="shared" si="2"/>
        <v>llama|action|1</v>
      </c>
    </row>
    <row r="168" spans="1:8" x14ac:dyDescent="0.2">
      <c r="A168" s="2" t="s">
        <v>30</v>
      </c>
      <c r="B168" s="2" t="s">
        <v>32</v>
      </c>
      <c r="C168" s="2">
        <v>2</v>
      </c>
      <c r="D168" s="2" t="s">
        <v>69</v>
      </c>
      <c r="E168" s="2" t="s">
        <v>28</v>
      </c>
      <c r="F168" s="4" t="b">
        <f>FALSE()</f>
        <v>0</v>
      </c>
      <c r="G168" s="2" t="s">
        <v>52</v>
      </c>
      <c r="H168" s="2" t="str">
        <f t="shared" si="2"/>
        <v>llama|action|2</v>
      </c>
    </row>
    <row r="169" spans="1:8" x14ac:dyDescent="0.2">
      <c r="A169" s="2" t="s">
        <v>30</v>
      </c>
      <c r="B169" s="2" t="s">
        <v>32</v>
      </c>
      <c r="C169" s="2">
        <v>11</v>
      </c>
      <c r="D169" s="2" t="s">
        <v>69</v>
      </c>
      <c r="E169" s="2" t="s">
        <v>28</v>
      </c>
      <c r="F169" s="4" t="b">
        <f>FALSE()</f>
        <v>0</v>
      </c>
      <c r="G169" s="2" t="s">
        <v>53</v>
      </c>
      <c r="H169" s="2" t="str">
        <f t="shared" si="2"/>
        <v>llama|action|11</v>
      </c>
    </row>
    <row r="170" spans="1:8" x14ac:dyDescent="0.2">
      <c r="A170" s="2" t="s">
        <v>30</v>
      </c>
      <c r="B170" s="2" t="s">
        <v>32</v>
      </c>
      <c r="C170" s="2">
        <v>12</v>
      </c>
      <c r="D170" s="2" t="s">
        <v>49</v>
      </c>
      <c r="E170" s="2" t="s">
        <v>28</v>
      </c>
      <c r="F170" s="4" t="b">
        <f>FALSE()</f>
        <v>0</v>
      </c>
      <c r="G170" s="2" t="s">
        <v>54</v>
      </c>
      <c r="H170" s="2" t="str">
        <f t="shared" si="2"/>
        <v>llama|action|12</v>
      </c>
    </row>
    <row r="171" spans="1:8" x14ac:dyDescent="0.2">
      <c r="A171" s="2" t="s">
        <v>30</v>
      </c>
      <c r="B171" s="2" t="s">
        <v>32</v>
      </c>
      <c r="C171" s="2">
        <v>13</v>
      </c>
      <c r="D171" s="2" t="s">
        <v>69</v>
      </c>
      <c r="E171" s="2" t="s">
        <v>28</v>
      </c>
      <c r="F171" s="4" t="b">
        <f>FALSE()</f>
        <v>0</v>
      </c>
      <c r="G171" s="2" t="s">
        <v>55</v>
      </c>
      <c r="H171" s="2" t="str">
        <f t="shared" si="2"/>
        <v>llama|action|13</v>
      </c>
    </row>
    <row r="172" spans="1:8" x14ac:dyDescent="0.2">
      <c r="A172" s="2" t="s">
        <v>30</v>
      </c>
      <c r="B172" s="2" t="s">
        <v>32</v>
      </c>
      <c r="C172" s="2">
        <v>14</v>
      </c>
      <c r="D172" s="2" t="s">
        <v>49</v>
      </c>
      <c r="E172" s="2" t="s">
        <v>28</v>
      </c>
      <c r="F172" s="4" t="b">
        <f>FALSE()</f>
        <v>0</v>
      </c>
      <c r="G172" s="2" t="s">
        <v>56</v>
      </c>
      <c r="H172" s="2" t="str">
        <f t="shared" si="2"/>
        <v>llama|action|14</v>
      </c>
    </row>
    <row r="173" spans="1:8" x14ac:dyDescent="0.2">
      <c r="A173" s="2" t="s">
        <v>30</v>
      </c>
      <c r="B173" s="2" t="s">
        <v>32</v>
      </c>
      <c r="C173" s="2">
        <v>26</v>
      </c>
      <c r="D173" s="2" t="s">
        <v>49</v>
      </c>
      <c r="E173" s="2" t="s">
        <v>28</v>
      </c>
      <c r="F173" s="4" t="b">
        <f>FALSE()</f>
        <v>0</v>
      </c>
      <c r="G173" s="2" t="s">
        <v>57</v>
      </c>
      <c r="H173" s="2" t="str">
        <f t="shared" si="2"/>
        <v>llama|action|26</v>
      </c>
    </row>
    <row r="174" spans="1:8" x14ac:dyDescent="0.2">
      <c r="A174" s="2" t="s">
        <v>30</v>
      </c>
      <c r="B174" s="2" t="s">
        <v>32</v>
      </c>
      <c r="C174" s="2">
        <v>31</v>
      </c>
      <c r="D174" s="2" t="s">
        <v>49</v>
      </c>
      <c r="E174" s="2" t="s">
        <v>28</v>
      </c>
      <c r="F174" s="4" t="b">
        <f>FALSE()</f>
        <v>0</v>
      </c>
      <c r="G174" s="2" t="s">
        <v>59</v>
      </c>
      <c r="H174" s="2" t="str">
        <f t="shared" si="2"/>
        <v>llama|action|31</v>
      </c>
    </row>
    <row r="175" spans="1:8" x14ac:dyDescent="0.2">
      <c r="A175" s="2" t="s">
        <v>30</v>
      </c>
      <c r="B175" s="2" t="s">
        <v>32</v>
      </c>
      <c r="C175" s="2">
        <v>33</v>
      </c>
      <c r="D175" s="2" t="s">
        <v>49</v>
      </c>
      <c r="E175" s="2" t="s">
        <v>28</v>
      </c>
      <c r="F175" s="4" t="b">
        <f>FALSE()</f>
        <v>0</v>
      </c>
      <c r="G175" s="2" t="s">
        <v>60</v>
      </c>
      <c r="H175" s="2" t="str">
        <f t="shared" si="2"/>
        <v>llama|action|33</v>
      </c>
    </row>
    <row r="176" spans="1:8" x14ac:dyDescent="0.2">
      <c r="A176" s="2" t="s">
        <v>30</v>
      </c>
      <c r="B176" s="2" t="s">
        <v>32</v>
      </c>
      <c r="C176" s="2">
        <v>41</v>
      </c>
      <c r="D176" s="2" t="s">
        <v>49</v>
      </c>
      <c r="E176" s="2" t="s">
        <v>28</v>
      </c>
      <c r="F176" s="4" t="b">
        <f>FALSE()</f>
        <v>0</v>
      </c>
      <c r="G176" s="2" t="s">
        <v>61</v>
      </c>
      <c r="H176" s="2" t="str">
        <f t="shared" si="2"/>
        <v>llama|action|41</v>
      </c>
    </row>
    <row r="177" spans="1:8" x14ac:dyDescent="0.2">
      <c r="A177" s="2" t="s">
        <v>30</v>
      </c>
      <c r="B177" s="2" t="s">
        <v>32</v>
      </c>
      <c r="C177" s="2">
        <v>44</v>
      </c>
      <c r="D177" s="2" t="s">
        <v>49</v>
      </c>
      <c r="E177" s="2" t="s">
        <v>28</v>
      </c>
      <c r="F177" s="4" t="b">
        <f>FALSE()</f>
        <v>0</v>
      </c>
      <c r="G177" s="2" t="s">
        <v>63</v>
      </c>
      <c r="H177" s="2" t="str">
        <f t="shared" si="2"/>
        <v>llama|action|44</v>
      </c>
    </row>
    <row r="178" spans="1:8" x14ac:dyDescent="0.2">
      <c r="A178" s="2" t="s">
        <v>30</v>
      </c>
      <c r="B178" s="2" t="s">
        <v>32</v>
      </c>
      <c r="C178" s="2">
        <v>45</v>
      </c>
      <c r="D178" s="2" t="s">
        <v>49</v>
      </c>
      <c r="E178" s="2" t="s">
        <v>28</v>
      </c>
      <c r="F178" s="4" t="b">
        <f>FALSE()</f>
        <v>0</v>
      </c>
      <c r="G178" s="2" t="s">
        <v>64</v>
      </c>
      <c r="H178" s="2" t="str">
        <f t="shared" si="2"/>
        <v>llama|action|45</v>
      </c>
    </row>
    <row r="179" spans="1:8" x14ac:dyDescent="0.2">
      <c r="A179" s="2" t="s">
        <v>30</v>
      </c>
      <c r="B179" s="2" t="s">
        <v>32</v>
      </c>
      <c r="C179" s="2">
        <v>51</v>
      </c>
      <c r="D179" s="2" t="s">
        <v>49</v>
      </c>
      <c r="E179" s="2" t="s">
        <v>28</v>
      </c>
      <c r="F179" s="4" t="b">
        <f>FALSE()</f>
        <v>0</v>
      </c>
      <c r="G179" s="2" t="s">
        <v>65</v>
      </c>
      <c r="H179" s="2" t="str">
        <f t="shared" si="2"/>
        <v>llama|action|51</v>
      </c>
    </row>
    <row r="180" spans="1:8" x14ac:dyDescent="0.2">
      <c r="A180" s="2" t="s">
        <v>30</v>
      </c>
      <c r="B180" s="2" t="s">
        <v>32</v>
      </c>
      <c r="C180" s="2">
        <v>59</v>
      </c>
      <c r="D180" s="2" t="s">
        <v>49</v>
      </c>
      <c r="E180" s="2" t="s">
        <v>28</v>
      </c>
      <c r="F180" s="4" t="b">
        <f>FALSE()</f>
        <v>0</v>
      </c>
      <c r="G180" s="2" t="s">
        <v>66</v>
      </c>
      <c r="H180" s="2" t="str">
        <f t="shared" si="2"/>
        <v>llama|action|59</v>
      </c>
    </row>
    <row r="181" spans="1:8" x14ac:dyDescent="0.2">
      <c r="A181" s="2" t="s">
        <v>30</v>
      </c>
      <c r="B181" s="2" t="s">
        <v>32</v>
      </c>
      <c r="C181" s="2">
        <v>56</v>
      </c>
      <c r="D181" s="2" t="s">
        <v>49</v>
      </c>
      <c r="E181" s="2" t="s">
        <v>28</v>
      </c>
      <c r="F181" s="4" t="b">
        <f>FALSE()</f>
        <v>0</v>
      </c>
      <c r="G181" s="2" t="s">
        <v>67</v>
      </c>
      <c r="H181" s="2" t="str">
        <f t="shared" si="2"/>
        <v>llama|action|56</v>
      </c>
    </row>
    <row r="185" spans="1:8" x14ac:dyDescent="0.2">
      <c r="A185" s="1" t="s">
        <v>0</v>
      </c>
      <c r="B185" s="1" t="s">
        <v>1</v>
      </c>
      <c r="C185" s="1" t="s">
        <v>5</v>
      </c>
      <c r="D185" s="1" t="s">
        <v>33</v>
      </c>
      <c r="E185" s="1" t="s">
        <v>34</v>
      </c>
      <c r="F185" s="1" t="s">
        <v>35</v>
      </c>
    </row>
    <row r="186" spans="1:8" x14ac:dyDescent="0.2">
      <c r="A186" s="2" t="s">
        <v>8</v>
      </c>
      <c r="B186" s="2" t="s">
        <v>9</v>
      </c>
      <c r="C186" s="2">
        <f>COUNTIFS(A2:A181,"gpt", B2:B181,"threshold_small", F2:F181,TRUE)</f>
        <v>14</v>
      </c>
      <c r="D186" s="2">
        <v>15</v>
      </c>
      <c r="E186" s="5">
        <f t="shared" ref="E186:E197" si="3">IF(D186=0,0,C186/D186)</f>
        <v>0.93333333333333335</v>
      </c>
      <c r="F186" s="2">
        <f>COUNTIFS(A2:A181,"gpt", B2:B181,"threshold_small", E2:E181,"PARSE_ERROR")</f>
        <v>0</v>
      </c>
    </row>
    <row r="187" spans="1:8" x14ac:dyDescent="0.2">
      <c r="A187" s="2" t="s">
        <v>27</v>
      </c>
      <c r="B187" s="2" t="s">
        <v>9</v>
      </c>
      <c r="C187" s="2">
        <f>COUNTIFS(A2:A181,"claude", B2:B181,"threshold_small", F2:F181,TRUE)</f>
        <v>12</v>
      </c>
      <c r="D187" s="2">
        <v>15</v>
      </c>
      <c r="E187" s="5">
        <f t="shared" si="3"/>
        <v>0.8</v>
      </c>
      <c r="F187" s="2">
        <f>COUNTIFS(A2:A181,"claude", B2:B181,"threshold_small", E2:E181,"PARSE_ERROR")</f>
        <v>3</v>
      </c>
    </row>
    <row r="188" spans="1:8" x14ac:dyDescent="0.2">
      <c r="A188" s="2" t="s">
        <v>29</v>
      </c>
      <c r="B188" s="2" t="s">
        <v>9</v>
      </c>
      <c r="C188" s="2">
        <f>COUNTIFS(A2:A181,"gemini", B2:B181,"threshold_small", F2:F181,TRUE)</f>
        <v>12</v>
      </c>
      <c r="D188" s="2">
        <v>15</v>
      </c>
      <c r="E188" s="5">
        <f t="shared" si="3"/>
        <v>0.8</v>
      </c>
      <c r="F188" s="2">
        <f>COUNTIFS(A2:A181,"gemini", B2:B181,"threshold_small", E2:E181,"PARSE_ERROR")</f>
        <v>0</v>
      </c>
    </row>
    <row r="189" spans="1:8" x14ac:dyDescent="0.2">
      <c r="A189" s="2" t="s">
        <v>30</v>
      </c>
      <c r="B189" s="2" t="s">
        <v>9</v>
      </c>
      <c r="C189" s="2">
        <f>COUNTIFS(A2:A181,"llama", B2:B181,"threshold_small", F2:F181,TRUE)</f>
        <v>0</v>
      </c>
      <c r="D189" s="2">
        <v>15</v>
      </c>
      <c r="E189" s="5">
        <f t="shared" si="3"/>
        <v>0</v>
      </c>
      <c r="F189" s="2">
        <f>COUNTIFS(A2:A181,"llama", B2:B181,"threshold_small", E2:E181,"PARSE_ERROR")</f>
        <v>15</v>
      </c>
    </row>
    <row r="190" spans="1:8" x14ac:dyDescent="0.2">
      <c r="A190" s="2" t="s">
        <v>8</v>
      </c>
      <c r="B190" s="2" t="s">
        <v>31</v>
      </c>
      <c r="C190" s="2">
        <f>COUNTIFS(A2:A181,"gpt", B2:B181,"threshold_large", F2:F181,TRUE)</f>
        <v>15</v>
      </c>
      <c r="D190" s="2">
        <v>15</v>
      </c>
      <c r="E190" s="5">
        <f t="shared" si="3"/>
        <v>1</v>
      </c>
      <c r="F190" s="2">
        <f>COUNTIFS(A2:A181,"gpt", B2:B181,"threshold_large", E2:E181,"PARSE_ERROR")</f>
        <v>0</v>
      </c>
    </row>
    <row r="191" spans="1:8" x14ac:dyDescent="0.2">
      <c r="A191" s="2" t="s">
        <v>27</v>
      </c>
      <c r="B191" s="2" t="s">
        <v>31</v>
      </c>
      <c r="C191" s="2">
        <f>COUNTIFS(A2:A181,"claude", B2:B181,"threshold_large", F2:F181,TRUE)</f>
        <v>9</v>
      </c>
      <c r="D191" s="2">
        <v>15</v>
      </c>
      <c r="E191" s="5">
        <f t="shared" si="3"/>
        <v>0.6</v>
      </c>
      <c r="F191" s="2">
        <f>COUNTIFS(A2:A181,"claude", B2:B181,"threshold_large", E2:E181,"PARSE_ERROR")</f>
        <v>6</v>
      </c>
    </row>
    <row r="192" spans="1:8" x14ac:dyDescent="0.2">
      <c r="A192" s="2" t="s">
        <v>29</v>
      </c>
      <c r="B192" s="2" t="s">
        <v>31</v>
      </c>
      <c r="C192" s="2">
        <f>COUNTIFS(A2:A181,"gemini", B2:B181,"threshold_large", F2:F181,TRUE)</f>
        <v>15</v>
      </c>
      <c r="D192" s="2">
        <v>15</v>
      </c>
      <c r="E192" s="5">
        <f t="shared" si="3"/>
        <v>1</v>
      </c>
      <c r="F192" s="2">
        <f>COUNTIFS(A2:A181,"gemini", B2:B181,"threshold_large", E2:E181,"PARSE_ERROR")</f>
        <v>0</v>
      </c>
    </row>
    <row r="193" spans="1:6" x14ac:dyDescent="0.2">
      <c r="A193" s="2" t="s">
        <v>30</v>
      </c>
      <c r="B193" s="2" t="s">
        <v>31</v>
      </c>
      <c r="C193" s="2">
        <f>COUNTIFS(A2:A181,"llama", B2:B181,"threshold_large", F2:F181,TRUE)</f>
        <v>0</v>
      </c>
      <c r="D193" s="2">
        <v>15</v>
      </c>
      <c r="E193" s="5">
        <f t="shared" si="3"/>
        <v>0</v>
      </c>
      <c r="F193" s="2">
        <f>COUNTIFS(A2:A181,"llama", B2:B181,"threshold_large", E2:E181,"PARSE_ERROR")</f>
        <v>15</v>
      </c>
    </row>
    <row r="194" spans="1:6" x14ac:dyDescent="0.2">
      <c r="A194" s="2" t="s">
        <v>8</v>
      </c>
      <c r="B194" s="2" t="s">
        <v>32</v>
      </c>
      <c r="C194" s="2">
        <f>COUNTIFS(A2:A181,"gpt", B2:B181,"action", F2:F181,TRUE)</f>
        <v>15</v>
      </c>
      <c r="D194" s="2">
        <v>15</v>
      </c>
      <c r="E194" s="5">
        <f t="shared" si="3"/>
        <v>1</v>
      </c>
      <c r="F194" s="2">
        <f>COUNTIFS(A2:A181,"gpt", B2:B181,"action", E2:E181,"PARSE_ERROR")</f>
        <v>0</v>
      </c>
    </row>
    <row r="195" spans="1:6" x14ac:dyDescent="0.2">
      <c r="A195" s="2" t="s">
        <v>27</v>
      </c>
      <c r="B195" s="2" t="s">
        <v>32</v>
      </c>
      <c r="C195" s="2">
        <f>COUNTIFS(A2:A181,"claude", B2:B181,"action", F2:F181,TRUE)</f>
        <v>4</v>
      </c>
      <c r="D195" s="2">
        <v>15</v>
      </c>
      <c r="E195" s="5">
        <f t="shared" si="3"/>
        <v>0.26666666666666666</v>
      </c>
      <c r="F195" s="2">
        <f>COUNTIFS(A2:A181,"claude", B2:B181,"action", E2:E181,"PARSE_ERROR")</f>
        <v>11</v>
      </c>
    </row>
    <row r="196" spans="1:6" x14ac:dyDescent="0.2">
      <c r="A196" s="2" t="s">
        <v>29</v>
      </c>
      <c r="B196" s="2" t="s">
        <v>32</v>
      </c>
      <c r="C196" s="2">
        <f>COUNTIFS(A2:A181,"gemini", B2:B181,"action", F2:F181,TRUE)</f>
        <v>11</v>
      </c>
      <c r="D196" s="2">
        <v>15</v>
      </c>
      <c r="E196" s="5">
        <f t="shared" si="3"/>
        <v>0.73333333333333328</v>
      </c>
      <c r="F196" s="2">
        <f>COUNTIFS(A2:A181,"gemini", B2:B181,"action", E2:E181,"PARSE_ERROR")</f>
        <v>0</v>
      </c>
    </row>
    <row r="197" spans="1:6" x14ac:dyDescent="0.2">
      <c r="A197" s="2" t="s">
        <v>30</v>
      </c>
      <c r="B197" s="2" t="s">
        <v>32</v>
      </c>
      <c r="C197" s="2">
        <f>COUNTIFS(A2:A181,"llama", B2:B181,"action", F2:F181,TRUE)</f>
        <v>0</v>
      </c>
      <c r="D197" s="2">
        <v>15</v>
      </c>
      <c r="E197" s="5">
        <f t="shared" si="3"/>
        <v>0</v>
      </c>
      <c r="F197" s="2">
        <f>COUNTIFS(A2:A181,"llama", B2:B181,"action", E2:E181,"PARSE_ERROR")</f>
        <v>15</v>
      </c>
    </row>
    <row r="201" spans="1:6" x14ac:dyDescent="0.2">
      <c r="A201" s="6" t="s">
        <v>36</v>
      </c>
    </row>
    <row r="202" spans="1:6" x14ac:dyDescent="0.2">
      <c r="A202" s="1" t="s">
        <v>0</v>
      </c>
      <c r="B202" s="1" t="s">
        <v>37</v>
      </c>
      <c r="C202" s="1" t="s">
        <v>38</v>
      </c>
      <c r="D202" s="1" t="s">
        <v>39</v>
      </c>
    </row>
    <row r="203" spans="1:6" x14ac:dyDescent="0.2">
      <c r="A203" s="2" t="s">
        <v>8</v>
      </c>
      <c r="B203" s="5">
        <f>E186</f>
        <v>0.93333333333333335</v>
      </c>
      <c r="C203" s="5">
        <f>E190</f>
        <v>1</v>
      </c>
      <c r="D203" s="7">
        <f>IF(OR(B203="N/A",C203="N/A"),"N/A",C203-B203)</f>
        <v>6.6666666666666652E-2</v>
      </c>
    </row>
    <row r="204" spans="1:6" x14ac:dyDescent="0.2">
      <c r="A204" s="2" t="s">
        <v>27</v>
      </c>
      <c r="B204" s="5">
        <f>E187</f>
        <v>0.8</v>
      </c>
      <c r="C204" s="5">
        <f t="shared" ref="C204:C206" si="4">E191</f>
        <v>0.6</v>
      </c>
      <c r="D204" s="7">
        <f>IF(OR(B204="N/A",C204="N/A"),"N/A",C204-B204)</f>
        <v>-0.20000000000000007</v>
      </c>
    </row>
    <row r="205" spans="1:6" x14ac:dyDescent="0.2">
      <c r="A205" s="2" t="s">
        <v>29</v>
      </c>
      <c r="B205" s="5">
        <f>E188</f>
        <v>0.8</v>
      </c>
      <c r="C205" s="5">
        <f t="shared" si="4"/>
        <v>1</v>
      </c>
      <c r="D205" s="7">
        <f>IF(OR(B205="N/A",C205="N/A"),"N/A",C205-B205)</f>
        <v>0.19999999999999996</v>
      </c>
    </row>
    <row r="206" spans="1:6" x14ac:dyDescent="0.2">
      <c r="A206" s="2" t="s">
        <v>30</v>
      </c>
      <c r="B206" s="5">
        <f>E189</f>
        <v>0</v>
      </c>
      <c r="C206" s="5">
        <f t="shared" si="4"/>
        <v>0</v>
      </c>
      <c r="D206" s="7">
        <f>IF(OR(B206="N/A",C206="N/A"),"N/A",C206-B206)</f>
        <v>0</v>
      </c>
    </row>
    <row r="210" spans="1:11" x14ac:dyDescent="0.2">
      <c r="A210" s="1" t="s">
        <v>0</v>
      </c>
      <c r="B210" s="1" t="s">
        <v>1</v>
      </c>
      <c r="C210" s="1" t="s">
        <v>2</v>
      </c>
      <c r="D210" s="1" t="s">
        <v>4</v>
      </c>
      <c r="E210" s="1" t="s">
        <v>3</v>
      </c>
      <c r="F210" s="1" t="s">
        <v>40</v>
      </c>
      <c r="G210" s="1" t="s">
        <v>41</v>
      </c>
      <c r="H210" s="1" t="s">
        <v>42</v>
      </c>
      <c r="J210" s="1" t="s">
        <v>2</v>
      </c>
      <c r="K210" s="1" t="s">
        <v>70</v>
      </c>
    </row>
    <row r="211" spans="1:11" x14ac:dyDescent="0.2">
      <c r="A211" s="2" t="s">
        <v>8</v>
      </c>
      <c r="B211" s="2" t="s">
        <v>9</v>
      </c>
      <c r="C211" s="2">
        <v>1</v>
      </c>
      <c r="D211" s="2" t="s">
        <v>49</v>
      </c>
      <c r="E211" s="2" t="s">
        <v>49</v>
      </c>
      <c r="F211" s="2" t="str">
        <f>IFERROR(INDEX($K$211:$K$225,MATCH(C211,$J$211:$J$225,0)),"N/A")</f>
        <v>Screen_3y</v>
      </c>
      <c r="G211" s="2" t="b">
        <f t="shared" ref="G211:G274" si="5">IF(F211="N/A",FALSE(),E211&lt;&gt;F211)</f>
        <v>0</v>
      </c>
      <c r="H211" t="str">
        <f>IF(D211="PARSE_ERROR","Parse Error",IF(NOT(G211),IF(D211=E211,"No Conflict (Correct)","No Conflict (Incorrect)"),IF(D211=E211,"Guideline-compliant",IF(D211=F211,"Knowledge-override","Neither"))))</f>
        <v>No Conflict (Correct)</v>
      </c>
      <c r="J211" s="2">
        <v>1</v>
      </c>
      <c r="K211" s="2" t="s">
        <v>49</v>
      </c>
    </row>
    <row r="212" spans="1:11" x14ac:dyDescent="0.2">
      <c r="A212" s="2" t="s">
        <v>8</v>
      </c>
      <c r="B212" s="2" t="s">
        <v>9</v>
      </c>
      <c r="C212" s="2">
        <v>2</v>
      </c>
      <c r="D212" s="2" t="s">
        <v>51</v>
      </c>
      <c r="E212" s="2" t="s">
        <v>51</v>
      </c>
      <c r="F212" s="2" t="str">
        <f>IFERROR(INDEX($K$211:$K$225,MATCH(C212,$J$211:$J$225,0)),"N/A")</f>
        <v>Screen_1y</v>
      </c>
      <c r="G212" s="2" t="b">
        <f t="shared" si="5"/>
        <v>0</v>
      </c>
      <c r="H212" t="str">
        <f>IF(D212="PARSE_ERROR","Parse Error",IF(NOT(G212),IF(D212=E212,"No Conflict (Correct)","No Conflict (Incorrect)"),IF(D212=E212,"Guideline-compliant",IF(D212=F212,"Knowledge-override","Neither"))))</f>
        <v>No Conflict (Correct)</v>
      </c>
      <c r="J212" s="2">
        <v>2</v>
      </c>
      <c r="K212" s="2" t="s">
        <v>51</v>
      </c>
    </row>
    <row r="213" spans="1:11" x14ac:dyDescent="0.2">
      <c r="A213" s="2" t="s">
        <v>8</v>
      </c>
      <c r="B213" s="2" t="s">
        <v>9</v>
      </c>
      <c r="C213" s="2">
        <v>11</v>
      </c>
      <c r="D213" s="2" t="s">
        <v>49</v>
      </c>
      <c r="E213" s="2" t="s">
        <v>49</v>
      </c>
      <c r="F213" s="2" t="str">
        <f t="shared" ref="F213:F276" si="6">IFERROR(INDEX($K$211:$K$225,MATCH(C213,$J$211:$J$225,0)),"N/A")</f>
        <v>Screen_1y</v>
      </c>
      <c r="G213" s="2" t="b">
        <f t="shared" si="5"/>
        <v>1</v>
      </c>
      <c r="H213" t="str">
        <f>IF(D213="PARSE_ERROR","Parse Error",IF(NOT(G213),IF(D213=E213,"No Conflict (Correct)","No Conflict (Incorrect)"),IF(D213=E213,"Guideline-compliant",IF(D213=F213,"Knowledge-override","Neither"))))</f>
        <v>Guideline-compliant</v>
      </c>
      <c r="J213" s="2">
        <v>11</v>
      </c>
      <c r="K213" s="2" t="s">
        <v>51</v>
      </c>
    </row>
    <row r="214" spans="1:11" x14ac:dyDescent="0.2">
      <c r="A214" s="2" t="s">
        <v>8</v>
      </c>
      <c r="B214" s="2" t="s">
        <v>9</v>
      </c>
      <c r="C214" s="2">
        <v>12</v>
      </c>
      <c r="D214" s="2" t="s">
        <v>49</v>
      </c>
      <c r="E214" s="2" t="s">
        <v>49</v>
      </c>
      <c r="F214" s="2" t="str">
        <f t="shared" si="6"/>
        <v>Confirm</v>
      </c>
      <c r="G214" s="2" t="b">
        <f t="shared" si="5"/>
        <v>1</v>
      </c>
      <c r="H214" t="str">
        <f>IF(D214="PARSE_ERROR","Parse Error",IF(NOT(G214),IF(D214=E214,"No Conflict (Correct)","No Conflict (Incorrect)"),IF(D214=E214,"Guideline-compliant",IF(D214=F214,"Knowledge-override","Neither"))))</f>
        <v>Guideline-compliant</v>
      </c>
      <c r="J214" s="2">
        <v>12</v>
      </c>
      <c r="K214" s="2" t="s">
        <v>58</v>
      </c>
    </row>
    <row r="215" spans="1:11" x14ac:dyDescent="0.2">
      <c r="A215" s="2" t="s">
        <v>8</v>
      </c>
      <c r="B215" s="2" t="s">
        <v>9</v>
      </c>
      <c r="C215" s="2">
        <v>13</v>
      </c>
      <c r="D215" s="2" t="s">
        <v>51</v>
      </c>
      <c r="E215" s="2" t="s">
        <v>51</v>
      </c>
      <c r="F215" s="2" t="str">
        <f t="shared" si="6"/>
        <v>Screen_1y</v>
      </c>
      <c r="G215" s="2" t="b">
        <f t="shared" si="5"/>
        <v>0</v>
      </c>
      <c r="H215" t="str">
        <f>IF(D215="PARSE_ERROR","Parse Error",IF(NOT(G215),IF(D215=E215,"No Conflict (Correct)","No Conflict (Incorrect)"),IF(D215=E215,"Guideline-compliant",IF(D215=F215,"Knowledge-override","Neither"))))</f>
        <v>No Conflict (Correct)</v>
      </c>
      <c r="J215" s="2">
        <v>13</v>
      </c>
      <c r="K215" s="2" t="s">
        <v>51</v>
      </c>
    </row>
    <row r="216" spans="1:11" x14ac:dyDescent="0.2">
      <c r="A216" s="2" t="s">
        <v>8</v>
      </c>
      <c r="B216" s="2" t="s">
        <v>9</v>
      </c>
      <c r="C216" s="2">
        <v>14</v>
      </c>
      <c r="D216" s="2" t="s">
        <v>51</v>
      </c>
      <c r="E216" s="2" t="s">
        <v>51</v>
      </c>
      <c r="F216" s="2" t="str">
        <f t="shared" si="6"/>
        <v>Confirm</v>
      </c>
      <c r="G216" s="2" t="b">
        <f t="shared" si="5"/>
        <v>1</v>
      </c>
      <c r="H216" t="str">
        <f>IF(D216="PARSE_ERROR","Parse Error",IF(NOT(G216),IF(D216=E216,"No Conflict (Correct)","No Conflict (Incorrect)"),IF(D216=E216,"Guideline-compliant",IF(D216=F216,"Knowledge-override","Neither"))))</f>
        <v>Guideline-compliant</v>
      </c>
      <c r="J216" s="2">
        <v>14</v>
      </c>
      <c r="K216" s="2" t="s">
        <v>58</v>
      </c>
    </row>
    <row r="217" spans="1:11" x14ac:dyDescent="0.2">
      <c r="A217" s="2" t="s">
        <v>8</v>
      </c>
      <c r="B217" s="2" t="s">
        <v>9</v>
      </c>
      <c r="C217" s="2">
        <v>26</v>
      </c>
      <c r="D217" s="2" t="s">
        <v>51</v>
      </c>
      <c r="E217" s="2" t="s">
        <v>51</v>
      </c>
      <c r="F217" s="2" t="str">
        <f t="shared" si="6"/>
        <v>Confirm</v>
      </c>
      <c r="G217" s="2" t="b">
        <f t="shared" si="5"/>
        <v>1</v>
      </c>
      <c r="H217" t="str">
        <f>IF(D217="PARSE_ERROR","Parse Error",IF(NOT(G217),IF(D217=E217,"No Conflict (Correct)","No Conflict (Incorrect)"),IF(D217=E217,"Guideline-compliant",IF(D217=F217,"Knowledge-override","Neither"))))</f>
        <v>Guideline-compliant</v>
      </c>
      <c r="J217" s="2">
        <v>26</v>
      </c>
      <c r="K217" s="2" t="s">
        <v>58</v>
      </c>
    </row>
    <row r="218" spans="1:11" x14ac:dyDescent="0.2">
      <c r="A218" s="2" t="s">
        <v>8</v>
      </c>
      <c r="B218" s="2" t="s">
        <v>9</v>
      </c>
      <c r="C218" s="2">
        <v>31</v>
      </c>
      <c r="D218" s="2" t="s">
        <v>58</v>
      </c>
      <c r="E218" s="2" t="s">
        <v>51</v>
      </c>
      <c r="F218" s="2" t="str">
        <f t="shared" si="6"/>
        <v>Confirm</v>
      </c>
      <c r="G218" s="2" t="b">
        <f t="shared" si="5"/>
        <v>1</v>
      </c>
      <c r="H218" t="str">
        <f>IF(D218="PARSE_ERROR","Parse Error",IF(NOT(G218),IF(D218=E218,"No Conflict (Correct)","No Conflict (Incorrect)"),IF(D218=E218,"Guideline-compliant",IF(D218=F218,"Knowledge-override","Neither"))))</f>
        <v>Knowledge-override</v>
      </c>
      <c r="J218" s="2">
        <v>31</v>
      </c>
      <c r="K218" s="2" t="s">
        <v>58</v>
      </c>
    </row>
    <row r="219" spans="1:11" x14ac:dyDescent="0.2">
      <c r="A219" s="2" t="s">
        <v>8</v>
      </c>
      <c r="B219" s="2" t="s">
        <v>9</v>
      </c>
      <c r="C219" s="2">
        <v>33</v>
      </c>
      <c r="D219" s="2" t="s">
        <v>58</v>
      </c>
      <c r="E219" s="2" t="s">
        <v>58</v>
      </c>
      <c r="F219" s="2" t="str">
        <f t="shared" si="6"/>
        <v>Confirm</v>
      </c>
      <c r="G219" s="2" t="b">
        <f t="shared" si="5"/>
        <v>0</v>
      </c>
      <c r="H219" t="str">
        <f>IF(D219="PARSE_ERROR","Parse Error",IF(NOT(G219),IF(D219=E219,"No Conflict (Correct)","No Conflict (Incorrect)"),IF(D219=E219,"Guideline-compliant",IF(D219=F219,"Knowledge-override","Neither"))))</f>
        <v>No Conflict (Correct)</v>
      </c>
      <c r="J219" s="2">
        <v>33</v>
      </c>
      <c r="K219" s="2" t="s">
        <v>58</v>
      </c>
    </row>
    <row r="220" spans="1:11" x14ac:dyDescent="0.2">
      <c r="A220" s="2" t="s">
        <v>8</v>
      </c>
      <c r="B220" s="2" t="s">
        <v>9</v>
      </c>
      <c r="C220" s="2">
        <v>41</v>
      </c>
      <c r="D220" s="2" t="s">
        <v>58</v>
      </c>
      <c r="E220" s="2" t="s">
        <v>58</v>
      </c>
      <c r="F220" s="2" t="str">
        <f t="shared" si="6"/>
        <v>ConfirmPromptly</v>
      </c>
      <c r="G220" s="2" t="b">
        <f t="shared" si="5"/>
        <v>1</v>
      </c>
      <c r="H220" t="str">
        <f>IF(D220="PARSE_ERROR","Parse Error",IF(NOT(G220),IF(D220=E220,"No Conflict (Correct)","No Conflict (Incorrect)"),IF(D220=E220,"Guideline-compliant",IF(D220=F220,"Knowledge-override","Neither"))))</f>
        <v>Guideline-compliant</v>
      </c>
      <c r="J220" s="2">
        <v>41</v>
      </c>
      <c r="K220" s="2" t="s">
        <v>62</v>
      </c>
    </row>
    <row r="221" spans="1:11" x14ac:dyDescent="0.2">
      <c r="A221" s="2" t="s">
        <v>8</v>
      </c>
      <c r="B221" s="2" t="s">
        <v>9</v>
      </c>
      <c r="C221" s="2">
        <v>44</v>
      </c>
      <c r="D221" s="2" t="s">
        <v>62</v>
      </c>
      <c r="E221" s="2" t="s">
        <v>62</v>
      </c>
      <c r="F221" s="2" t="str">
        <f t="shared" si="6"/>
        <v>ConfirmPromptly</v>
      </c>
      <c r="G221" s="2" t="b">
        <f t="shared" si="5"/>
        <v>0</v>
      </c>
      <c r="H221" t="str">
        <f>IF(D221="PARSE_ERROR","Parse Error",IF(NOT(G221),IF(D221=E221,"No Conflict (Correct)","No Conflict (Incorrect)"),IF(D221=E221,"Guideline-compliant",IF(D221=F221,"Knowledge-override","Neither"))))</f>
        <v>No Conflict (Correct)</v>
      </c>
      <c r="J221" s="2">
        <v>44</v>
      </c>
      <c r="K221" s="2" t="s">
        <v>62</v>
      </c>
    </row>
    <row r="222" spans="1:11" x14ac:dyDescent="0.2">
      <c r="A222" s="2" t="s">
        <v>8</v>
      </c>
      <c r="B222" s="2" t="s">
        <v>9</v>
      </c>
      <c r="C222" s="2">
        <v>45</v>
      </c>
      <c r="D222" s="2" t="s">
        <v>62</v>
      </c>
      <c r="E222" s="2" t="s">
        <v>62</v>
      </c>
      <c r="F222" s="2" t="str">
        <f t="shared" si="6"/>
        <v>ConfirmPromptly</v>
      </c>
      <c r="G222" s="2" t="b">
        <f t="shared" si="5"/>
        <v>0</v>
      </c>
      <c r="H222" t="str">
        <f>IF(D222="PARSE_ERROR","Parse Error",IF(NOT(G222),IF(D222=E222,"No Conflict (Correct)","No Conflict (Incorrect)"),IF(D222=E222,"Guideline-compliant",IF(D222=F222,"Knowledge-override","Neither"))))</f>
        <v>No Conflict (Correct)</v>
      </c>
      <c r="J222" s="2">
        <v>45</v>
      </c>
      <c r="K222" s="2" t="s">
        <v>62</v>
      </c>
    </row>
    <row r="223" spans="1:11" x14ac:dyDescent="0.2">
      <c r="A223" s="2" t="s">
        <v>8</v>
      </c>
      <c r="B223" s="2" t="s">
        <v>9</v>
      </c>
      <c r="C223" s="2">
        <v>51</v>
      </c>
      <c r="D223" s="2" t="s">
        <v>62</v>
      </c>
      <c r="E223" s="2" t="s">
        <v>62</v>
      </c>
      <c r="F223" s="2" t="str">
        <f t="shared" si="6"/>
        <v>EvaluateEmergency</v>
      </c>
      <c r="G223" s="2" t="b">
        <f t="shared" si="5"/>
        <v>1</v>
      </c>
      <c r="H223" t="str">
        <f>IF(D223="PARSE_ERROR","Parse Error",IF(NOT(G223),IF(D223=E223,"No Conflict (Correct)","No Conflict (Incorrect)"),IF(D223=E223,"Guideline-compliant",IF(D223=F223,"Knowledge-override","Neither"))))</f>
        <v>Guideline-compliant</v>
      </c>
      <c r="J223" s="2">
        <v>51</v>
      </c>
      <c r="K223" s="2" t="s">
        <v>69</v>
      </c>
    </row>
    <row r="224" spans="1:11" x14ac:dyDescent="0.2">
      <c r="A224" s="2" t="s">
        <v>8</v>
      </c>
      <c r="B224" s="2" t="s">
        <v>9</v>
      </c>
      <c r="C224" s="2">
        <v>59</v>
      </c>
      <c r="D224" s="2" t="s">
        <v>62</v>
      </c>
      <c r="E224" s="2" t="s">
        <v>62</v>
      </c>
      <c r="F224" s="2" t="str">
        <f t="shared" si="6"/>
        <v>EvaluateEmergency</v>
      </c>
      <c r="G224" s="2" t="b">
        <f t="shared" si="5"/>
        <v>1</v>
      </c>
      <c r="H224" t="str">
        <f>IF(D224="PARSE_ERROR","Parse Error",IF(NOT(G224),IF(D224=E224,"No Conflict (Correct)","No Conflict (Incorrect)"),IF(D224=E224,"Guideline-compliant",IF(D224=F224,"Knowledge-override","Neither"))))</f>
        <v>Guideline-compliant</v>
      </c>
      <c r="J224" s="2">
        <v>56</v>
      </c>
      <c r="K224" s="2" t="s">
        <v>69</v>
      </c>
    </row>
    <row r="225" spans="1:11" x14ac:dyDescent="0.2">
      <c r="A225" s="2" t="s">
        <v>8</v>
      </c>
      <c r="B225" s="2" t="s">
        <v>9</v>
      </c>
      <c r="C225" s="2">
        <v>56</v>
      </c>
      <c r="D225" s="2" t="s">
        <v>62</v>
      </c>
      <c r="E225" s="2" t="s">
        <v>62</v>
      </c>
      <c r="F225" s="2" t="str">
        <f t="shared" si="6"/>
        <v>EvaluateEmergency</v>
      </c>
      <c r="G225" s="2" t="b">
        <f t="shared" si="5"/>
        <v>1</v>
      </c>
      <c r="H225" t="str">
        <f>IF(D225="PARSE_ERROR","Parse Error",IF(NOT(G225),IF(D225=E225,"No Conflict (Correct)","No Conflict (Incorrect)"),IF(D225=E225,"Guideline-compliant",IF(D225=F225,"Knowledge-override","Neither"))))</f>
        <v>Guideline-compliant</v>
      </c>
      <c r="J225" s="2">
        <v>59</v>
      </c>
      <c r="K225" s="2" t="s">
        <v>69</v>
      </c>
    </row>
    <row r="226" spans="1:11" x14ac:dyDescent="0.2">
      <c r="A226" s="2" t="s">
        <v>27</v>
      </c>
      <c r="B226" s="2" t="s">
        <v>9</v>
      </c>
      <c r="C226" s="2">
        <v>1</v>
      </c>
      <c r="D226" s="2" t="s">
        <v>49</v>
      </c>
      <c r="E226" s="2" t="s">
        <v>49</v>
      </c>
      <c r="F226" s="2" t="str">
        <f t="shared" si="6"/>
        <v>Screen_3y</v>
      </c>
      <c r="G226" s="2" t="b">
        <f t="shared" si="5"/>
        <v>0</v>
      </c>
      <c r="H226" t="str">
        <f>IF(D226="PARSE_ERROR","Parse Error",IF(NOT(G226),IF(D226=E226,"No Conflict (Correct)","No Conflict (Incorrect)"),IF(D226=E226,"Guideline-compliant",IF(D226=F226,"Knowledge-override","Neither"))))</f>
        <v>No Conflict (Correct)</v>
      </c>
    </row>
    <row r="227" spans="1:11" x14ac:dyDescent="0.2">
      <c r="A227" s="2" t="s">
        <v>27</v>
      </c>
      <c r="B227" s="2" t="s">
        <v>9</v>
      </c>
      <c r="C227" s="2">
        <v>2</v>
      </c>
      <c r="D227" s="2" t="s">
        <v>51</v>
      </c>
      <c r="E227" s="2" t="s">
        <v>51</v>
      </c>
      <c r="F227" s="2" t="str">
        <f t="shared" si="6"/>
        <v>Screen_1y</v>
      </c>
      <c r="G227" s="2" t="b">
        <f t="shared" si="5"/>
        <v>0</v>
      </c>
      <c r="H227" t="str">
        <f>IF(D227="PARSE_ERROR","Parse Error",IF(NOT(G227),IF(D227=E227,"No Conflict (Correct)","No Conflict (Incorrect)"),IF(D227=E227,"Guideline-compliant",IF(D227=F227,"Knowledge-override","Neither"))))</f>
        <v>No Conflict (Correct)</v>
      </c>
    </row>
    <row r="228" spans="1:11" x14ac:dyDescent="0.2">
      <c r="A228" s="2" t="s">
        <v>27</v>
      </c>
      <c r="B228" s="2" t="s">
        <v>9</v>
      </c>
      <c r="C228" s="2">
        <v>11</v>
      </c>
      <c r="D228" s="2" t="s">
        <v>49</v>
      </c>
      <c r="E228" s="2" t="s">
        <v>49</v>
      </c>
      <c r="F228" s="2" t="str">
        <f t="shared" si="6"/>
        <v>Screen_1y</v>
      </c>
      <c r="G228" s="2" t="b">
        <f t="shared" si="5"/>
        <v>1</v>
      </c>
      <c r="H228" t="str">
        <f>IF(D228="PARSE_ERROR","Parse Error",IF(NOT(G228),IF(D228=E228,"No Conflict (Correct)","No Conflict (Incorrect)"),IF(D228=E228,"Guideline-compliant",IF(D228=F228,"Knowledge-override","Neither"))))</f>
        <v>Guideline-compliant</v>
      </c>
    </row>
    <row r="229" spans="1:11" x14ac:dyDescent="0.2">
      <c r="A229" s="2" t="s">
        <v>27</v>
      </c>
      <c r="B229" s="2" t="s">
        <v>9</v>
      </c>
      <c r="C229" s="2">
        <v>12</v>
      </c>
      <c r="D229" s="2" t="s">
        <v>49</v>
      </c>
      <c r="E229" s="2" t="s">
        <v>49</v>
      </c>
      <c r="F229" s="2" t="str">
        <f t="shared" si="6"/>
        <v>Confirm</v>
      </c>
      <c r="G229" s="2" t="b">
        <f t="shared" si="5"/>
        <v>1</v>
      </c>
      <c r="H229" t="str">
        <f>IF(D229="PARSE_ERROR","Parse Error",IF(NOT(G229),IF(D229=E229,"No Conflict (Correct)","No Conflict (Incorrect)"),IF(D229=E229,"Guideline-compliant",IF(D229=F229,"Knowledge-override","Neither"))))</f>
        <v>Guideline-compliant</v>
      </c>
    </row>
    <row r="230" spans="1:11" x14ac:dyDescent="0.2">
      <c r="A230" s="2" t="s">
        <v>27</v>
      </c>
      <c r="B230" s="2" t="s">
        <v>9</v>
      </c>
      <c r="C230" s="2">
        <v>13</v>
      </c>
      <c r="D230" s="2" t="s">
        <v>51</v>
      </c>
      <c r="E230" s="2" t="s">
        <v>51</v>
      </c>
      <c r="F230" s="2" t="str">
        <f t="shared" si="6"/>
        <v>Screen_1y</v>
      </c>
      <c r="G230" s="2" t="b">
        <f t="shared" si="5"/>
        <v>0</v>
      </c>
      <c r="H230" t="str">
        <f>IF(D230="PARSE_ERROR","Parse Error",IF(NOT(G230),IF(D230=E230,"No Conflict (Correct)","No Conflict (Incorrect)"),IF(D230=E230,"Guideline-compliant",IF(D230=F230,"Knowledge-override","Neither"))))</f>
        <v>No Conflict (Correct)</v>
      </c>
    </row>
    <row r="231" spans="1:11" x14ac:dyDescent="0.2">
      <c r="A231" s="2" t="s">
        <v>27</v>
      </c>
      <c r="B231" s="2" t="s">
        <v>9</v>
      </c>
      <c r="C231" s="2">
        <v>14</v>
      </c>
      <c r="D231" s="2" t="s">
        <v>51</v>
      </c>
      <c r="E231" s="2" t="s">
        <v>51</v>
      </c>
      <c r="F231" s="2" t="str">
        <f t="shared" si="6"/>
        <v>Confirm</v>
      </c>
      <c r="G231" s="2" t="b">
        <f t="shared" si="5"/>
        <v>1</v>
      </c>
      <c r="H231" t="str">
        <f>IF(D231="PARSE_ERROR","Parse Error",IF(NOT(G231),IF(D231=E231,"No Conflict (Correct)","No Conflict (Incorrect)"),IF(D231=E231,"Guideline-compliant",IF(D231=F231,"Knowledge-override","Neither"))))</f>
        <v>Guideline-compliant</v>
      </c>
    </row>
    <row r="232" spans="1:11" x14ac:dyDescent="0.2">
      <c r="A232" s="2" t="s">
        <v>27</v>
      </c>
      <c r="B232" s="2" t="s">
        <v>9</v>
      </c>
      <c r="C232" s="2">
        <v>26</v>
      </c>
      <c r="D232" s="2" t="s">
        <v>51</v>
      </c>
      <c r="E232" s="2" t="s">
        <v>51</v>
      </c>
      <c r="F232" s="2" t="str">
        <f t="shared" si="6"/>
        <v>Confirm</v>
      </c>
      <c r="G232" s="2" t="b">
        <f t="shared" si="5"/>
        <v>1</v>
      </c>
      <c r="H232" t="str">
        <f>IF(D232="PARSE_ERROR","Parse Error",IF(NOT(G232),IF(D232=E232,"No Conflict (Correct)","No Conflict (Incorrect)"),IF(D232=E232,"Guideline-compliant",IF(D232=F232,"Knowledge-override","Neither"))))</f>
        <v>Guideline-compliant</v>
      </c>
    </row>
    <row r="233" spans="1:11" x14ac:dyDescent="0.2">
      <c r="A233" s="2" t="s">
        <v>27</v>
      </c>
      <c r="B233" s="2" t="s">
        <v>9</v>
      </c>
      <c r="C233" s="2">
        <v>31</v>
      </c>
      <c r="D233" s="2" t="s">
        <v>28</v>
      </c>
      <c r="E233" s="2" t="s">
        <v>51</v>
      </c>
      <c r="F233" s="2" t="str">
        <f t="shared" si="6"/>
        <v>Confirm</v>
      </c>
      <c r="G233" s="2" t="b">
        <f t="shared" si="5"/>
        <v>1</v>
      </c>
      <c r="H233" t="str">
        <f>IF(D233="PARSE_ERROR","Parse Error",IF(NOT(G233),IF(D233=E233,"No Conflict (Correct)","No Conflict (Incorrect)"),IF(D233=E233,"Guideline-compliant",IF(D233=F233,"Knowledge-override","Neither"))))</f>
        <v>Parse Error</v>
      </c>
    </row>
    <row r="234" spans="1:11" x14ac:dyDescent="0.2">
      <c r="A234" s="2" t="s">
        <v>27</v>
      </c>
      <c r="B234" s="2" t="s">
        <v>9</v>
      </c>
      <c r="C234" s="2">
        <v>33</v>
      </c>
      <c r="D234" s="2" t="s">
        <v>58</v>
      </c>
      <c r="E234" s="2" t="s">
        <v>58</v>
      </c>
      <c r="F234" s="2" t="str">
        <f t="shared" si="6"/>
        <v>Confirm</v>
      </c>
      <c r="G234" s="2" t="b">
        <f t="shared" si="5"/>
        <v>0</v>
      </c>
      <c r="H234" t="str">
        <f>IF(D234="PARSE_ERROR","Parse Error",IF(NOT(G234),IF(D234=E234,"No Conflict (Correct)","No Conflict (Incorrect)"),IF(D234=E234,"Guideline-compliant",IF(D234=F234,"Knowledge-override","Neither"))))</f>
        <v>No Conflict (Correct)</v>
      </c>
    </row>
    <row r="235" spans="1:11" x14ac:dyDescent="0.2">
      <c r="A235" s="2" t="s">
        <v>27</v>
      </c>
      <c r="B235" s="2" t="s">
        <v>9</v>
      </c>
      <c r="C235" s="2">
        <v>41</v>
      </c>
      <c r="D235" s="2" t="s">
        <v>58</v>
      </c>
      <c r="E235" s="2" t="s">
        <v>58</v>
      </c>
      <c r="F235" s="2" t="str">
        <f t="shared" si="6"/>
        <v>ConfirmPromptly</v>
      </c>
      <c r="G235" s="2" t="b">
        <f t="shared" si="5"/>
        <v>1</v>
      </c>
      <c r="H235" t="str">
        <f>IF(D235="PARSE_ERROR","Parse Error",IF(NOT(G235),IF(D235=E235,"No Conflict (Correct)","No Conflict (Incorrect)"),IF(D235=E235,"Guideline-compliant",IF(D235=F235,"Knowledge-override","Neither"))))</f>
        <v>Guideline-compliant</v>
      </c>
    </row>
    <row r="236" spans="1:11" x14ac:dyDescent="0.2">
      <c r="A236" s="2" t="s">
        <v>27</v>
      </c>
      <c r="B236" s="2" t="s">
        <v>9</v>
      </c>
      <c r="C236" s="2">
        <v>44</v>
      </c>
      <c r="D236" s="2" t="s">
        <v>62</v>
      </c>
      <c r="E236" s="2" t="s">
        <v>62</v>
      </c>
      <c r="F236" s="2" t="str">
        <f t="shared" si="6"/>
        <v>ConfirmPromptly</v>
      </c>
      <c r="G236" s="2" t="b">
        <f t="shared" si="5"/>
        <v>0</v>
      </c>
      <c r="H236" t="str">
        <f>IF(D236="PARSE_ERROR","Parse Error",IF(NOT(G236),IF(D236=E236,"No Conflict (Correct)","No Conflict (Incorrect)"),IF(D236=E236,"Guideline-compliant",IF(D236=F236,"Knowledge-override","Neither"))))</f>
        <v>No Conflict (Correct)</v>
      </c>
    </row>
    <row r="237" spans="1:11" x14ac:dyDescent="0.2">
      <c r="A237" s="2" t="s">
        <v>27</v>
      </c>
      <c r="B237" s="2" t="s">
        <v>9</v>
      </c>
      <c r="C237" s="2">
        <v>45</v>
      </c>
      <c r="D237" s="2" t="s">
        <v>28</v>
      </c>
      <c r="E237" s="2" t="s">
        <v>62</v>
      </c>
      <c r="F237" s="2" t="str">
        <f t="shared" si="6"/>
        <v>ConfirmPromptly</v>
      </c>
      <c r="G237" s="2" t="b">
        <f t="shared" si="5"/>
        <v>0</v>
      </c>
      <c r="H237" t="str">
        <f>IF(D237="PARSE_ERROR","Parse Error",IF(NOT(G237),IF(D237=E237,"No Conflict (Correct)","No Conflict (Incorrect)"),IF(D237=E237,"Guideline-compliant",IF(D237=F237,"Knowledge-override","Neither"))))</f>
        <v>Parse Error</v>
      </c>
    </row>
    <row r="238" spans="1:11" x14ac:dyDescent="0.2">
      <c r="A238" s="2" t="s">
        <v>27</v>
      </c>
      <c r="B238" s="2" t="s">
        <v>9</v>
      </c>
      <c r="C238" s="2">
        <v>51</v>
      </c>
      <c r="D238" s="2" t="s">
        <v>62</v>
      </c>
      <c r="E238" s="2" t="s">
        <v>62</v>
      </c>
      <c r="F238" s="2" t="str">
        <f t="shared" si="6"/>
        <v>EvaluateEmergency</v>
      </c>
      <c r="G238" s="2" t="b">
        <f t="shared" si="5"/>
        <v>1</v>
      </c>
      <c r="H238" t="str">
        <f>IF(D238="PARSE_ERROR","Parse Error",IF(NOT(G238),IF(D238=E238,"No Conflict (Correct)","No Conflict (Incorrect)"),IF(D238=E238,"Guideline-compliant",IF(D238=F238,"Knowledge-override","Neither"))))</f>
        <v>Guideline-compliant</v>
      </c>
    </row>
    <row r="239" spans="1:11" x14ac:dyDescent="0.2">
      <c r="A239" s="2" t="s">
        <v>27</v>
      </c>
      <c r="B239" s="2" t="s">
        <v>9</v>
      </c>
      <c r="C239" s="2">
        <v>59</v>
      </c>
      <c r="D239" s="2" t="s">
        <v>62</v>
      </c>
      <c r="E239" s="2" t="s">
        <v>62</v>
      </c>
      <c r="F239" s="2" t="str">
        <f t="shared" si="6"/>
        <v>EvaluateEmergency</v>
      </c>
      <c r="G239" s="2" t="b">
        <f t="shared" si="5"/>
        <v>1</v>
      </c>
      <c r="H239" t="str">
        <f>IF(D239="PARSE_ERROR","Parse Error",IF(NOT(G239),IF(D239=E239,"No Conflict (Correct)","No Conflict (Incorrect)"),IF(D239=E239,"Guideline-compliant",IF(D239=F239,"Knowledge-override","Neither"))))</f>
        <v>Guideline-compliant</v>
      </c>
    </row>
    <row r="240" spans="1:11" x14ac:dyDescent="0.2">
      <c r="A240" s="2" t="s">
        <v>27</v>
      </c>
      <c r="B240" s="2" t="s">
        <v>9</v>
      </c>
      <c r="C240" s="2">
        <v>56</v>
      </c>
      <c r="D240" s="2" t="s">
        <v>28</v>
      </c>
      <c r="E240" s="2" t="s">
        <v>62</v>
      </c>
      <c r="F240" s="2" t="str">
        <f t="shared" si="6"/>
        <v>EvaluateEmergency</v>
      </c>
      <c r="G240" s="2" t="b">
        <f t="shared" si="5"/>
        <v>1</v>
      </c>
      <c r="H240" t="str">
        <f>IF(D240="PARSE_ERROR","Parse Error",IF(NOT(G240),IF(D240=E240,"No Conflict (Correct)","No Conflict (Incorrect)"),IF(D240=E240,"Guideline-compliant",IF(D240=F240,"Knowledge-override","Neither"))))</f>
        <v>Parse Error</v>
      </c>
    </row>
    <row r="241" spans="1:8" x14ac:dyDescent="0.2">
      <c r="A241" s="2" t="s">
        <v>29</v>
      </c>
      <c r="B241" s="2" t="s">
        <v>9</v>
      </c>
      <c r="C241" s="2">
        <v>1</v>
      </c>
      <c r="D241" s="2" t="s">
        <v>49</v>
      </c>
      <c r="E241" s="2" t="s">
        <v>49</v>
      </c>
      <c r="F241" s="2" t="str">
        <f t="shared" si="6"/>
        <v>Screen_3y</v>
      </c>
      <c r="G241" s="2" t="b">
        <f t="shared" si="5"/>
        <v>0</v>
      </c>
      <c r="H241" t="str">
        <f>IF(D241="PARSE_ERROR","Parse Error",IF(NOT(G241),IF(D241=E241,"No Conflict (Correct)","No Conflict (Incorrect)"),IF(D241=E241,"Guideline-compliant",IF(D241=F241,"Knowledge-override","Neither"))))</f>
        <v>No Conflict (Correct)</v>
      </c>
    </row>
    <row r="242" spans="1:8" x14ac:dyDescent="0.2">
      <c r="A242" s="2" t="s">
        <v>29</v>
      </c>
      <c r="B242" s="2" t="s">
        <v>9</v>
      </c>
      <c r="C242" s="2">
        <v>2</v>
      </c>
      <c r="D242" s="2" t="s">
        <v>51</v>
      </c>
      <c r="E242" s="2" t="s">
        <v>51</v>
      </c>
      <c r="F242" s="2" t="str">
        <f t="shared" si="6"/>
        <v>Screen_1y</v>
      </c>
      <c r="G242" s="2" t="b">
        <f t="shared" si="5"/>
        <v>0</v>
      </c>
      <c r="H242" t="str">
        <f>IF(D242="PARSE_ERROR","Parse Error",IF(NOT(G242),IF(D242=E242,"No Conflict (Correct)","No Conflict (Incorrect)"),IF(D242=E242,"Guideline-compliant",IF(D242=F242,"Knowledge-override","Neither"))))</f>
        <v>No Conflict (Correct)</v>
      </c>
    </row>
    <row r="243" spans="1:8" x14ac:dyDescent="0.2">
      <c r="A243" s="2" t="s">
        <v>29</v>
      </c>
      <c r="B243" s="2" t="s">
        <v>9</v>
      </c>
      <c r="C243" s="2">
        <v>11</v>
      </c>
      <c r="D243" s="2" t="s">
        <v>49</v>
      </c>
      <c r="E243" s="2" t="s">
        <v>49</v>
      </c>
      <c r="F243" s="2" t="str">
        <f t="shared" si="6"/>
        <v>Screen_1y</v>
      </c>
      <c r="G243" s="2" t="b">
        <f t="shared" si="5"/>
        <v>1</v>
      </c>
      <c r="H243" t="str">
        <f>IF(D243="PARSE_ERROR","Parse Error",IF(NOT(G243),IF(D243=E243,"No Conflict (Correct)","No Conflict (Incorrect)"),IF(D243=E243,"Guideline-compliant",IF(D243=F243,"Knowledge-override","Neither"))))</f>
        <v>Guideline-compliant</v>
      </c>
    </row>
    <row r="244" spans="1:8" x14ac:dyDescent="0.2">
      <c r="A244" s="2" t="s">
        <v>29</v>
      </c>
      <c r="B244" s="2" t="s">
        <v>9</v>
      </c>
      <c r="C244" s="2">
        <v>12</v>
      </c>
      <c r="D244" s="2" t="s">
        <v>49</v>
      </c>
      <c r="E244" s="2" t="s">
        <v>49</v>
      </c>
      <c r="F244" s="2" t="str">
        <f t="shared" si="6"/>
        <v>Confirm</v>
      </c>
      <c r="G244" s="2" t="b">
        <f t="shared" si="5"/>
        <v>1</v>
      </c>
      <c r="H244" t="str">
        <f>IF(D244="PARSE_ERROR","Parse Error",IF(NOT(G244),IF(D244=E244,"No Conflict (Correct)","No Conflict (Incorrect)"),IF(D244=E244,"Guideline-compliant",IF(D244=F244,"Knowledge-override","Neither"))))</f>
        <v>Guideline-compliant</v>
      </c>
    </row>
    <row r="245" spans="1:8" x14ac:dyDescent="0.2">
      <c r="A245" s="2" t="s">
        <v>29</v>
      </c>
      <c r="B245" s="2" t="s">
        <v>9</v>
      </c>
      <c r="C245" s="2">
        <v>13</v>
      </c>
      <c r="D245" s="2" t="s">
        <v>51</v>
      </c>
      <c r="E245" s="2" t="s">
        <v>51</v>
      </c>
      <c r="F245" s="2" t="str">
        <f t="shared" si="6"/>
        <v>Screen_1y</v>
      </c>
      <c r="G245" s="2" t="b">
        <f t="shared" si="5"/>
        <v>0</v>
      </c>
      <c r="H245" t="str">
        <f>IF(D245="PARSE_ERROR","Parse Error",IF(NOT(G245),IF(D245=E245,"No Conflict (Correct)","No Conflict (Incorrect)"),IF(D245=E245,"Guideline-compliant",IF(D245=F245,"Knowledge-override","Neither"))))</f>
        <v>No Conflict (Correct)</v>
      </c>
    </row>
    <row r="246" spans="1:8" x14ac:dyDescent="0.2">
      <c r="A246" s="2" t="s">
        <v>29</v>
      </c>
      <c r="B246" s="2" t="s">
        <v>9</v>
      </c>
      <c r="C246" s="2">
        <v>14</v>
      </c>
      <c r="D246" s="2" t="s">
        <v>51</v>
      </c>
      <c r="E246" s="2" t="s">
        <v>51</v>
      </c>
      <c r="F246" s="2" t="str">
        <f t="shared" si="6"/>
        <v>Confirm</v>
      </c>
      <c r="G246" s="2" t="b">
        <f t="shared" si="5"/>
        <v>1</v>
      </c>
      <c r="H246" t="str">
        <f>IF(D246="PARSE_ERROR","Parse Error",IF(NOT(G246),IF(D246=E246,"No Conflict (Correct)","No Conflict (Incorrect)"),IF(D246=E246,"Guideline-compliant",IF(D246=F246,"Knowledge-override","Neither"))))</f>
        <v>Guideline-compliant</v>
      </c>
    </row>
    <row r="247" spans="1:8" x14ac:dyDescent="0.2">
      <c r="A247" s="2" t="s">
        <v>29</v>
      </c>
      <c r="B247" s="2" t="s">
        <v>9</v>
      </c>
      <c r="C247" s="2">
        <v>26</v>
      </c>
      <c r="D247" s="2" t="s">
        <v>58</v>
      </c>
      <c r="E247" s="2" t="s">
        <v>51</v>
      </c>
      <c r="F247" s="2" t="str">
        <f t="shared" si="6"/>
        <v>Confirm</v>
      </c>
      <c r="G247" s="2" t="b">
        <f t="shared" si="5"/>
        <v>1</v>
      </c>
      <c r="H247" t="str">
        <f>IF(D247="PARSE_ERROR","Parse Error",IF(NOT(G247),IF(D247=E247,"No Conflict (Correct)","No Conflict (Incorrect)"),IF(D247=E247,"Guideline-compliant",IF(D247=F247,"Knowledge-override","Neither"))))</f>
        <v>Knowledge-override</v>
      </c>
    </row>
    <row r="248" spans="1:8" x14ac:dyDescent="0.2">
      <c r="A248" s="2" t="s">
        <v>29</v>
      </c>
      <c r="B248" s="2" t="s">
        <v>9</v>
      </c>
      <c r="C248" s="2">
        <v>31</v>
      </c>
      <c r="D248" s="2" t="s">
        <v>51</v>
      </c>
      <c r="E248" s="2" t="s">
        <v>51</v>
      </c>
      <c r="F248" s="2" t="str">
        <f t="shared" si="6"/>
        <v>Confirm</v>
      </c>
      <c r="G248" s="2" t="b">
        <f t="shared" si="5"/>
        <v>1</v>
      </c>
      <c r="H248" t="str">
        <f>IF(D248="PARSE_ERROR","Parse Error",IF(NOT(G248),IF(D248=E248,"No Conflict (Correct)","No Conflict (Incorrect)"),IF(D248=E248,"Guideline-compliant",IF(D248=F248,"Knowledge-override","Neither"))))</f>
        <v>Guideline-compliant</v>
      </c>
    </row>
    <row r="249" spans="1:8" x14ac:dyDescent="0.2">
      <c r="A249" s="2" t="s">
        <v>29</v>
      </c>
      <c r="B249" s="2" t="s">
        <v>9</v>
      </c>
      <c r="C249" s="2">
        <v>33</v>
      </c>
      <c r="D249" s="2" t="s">
        <v>58</v>
      </c>
      <c r="E249" s="2" t="s">
        <v>58</v>
      </c>
      <c r="F249" s="2" t="str">
        <f t="shared" si="6"/>
        <v>Confirm</v>
      </c>
      <c r="G249" s="2" t="b">
        <f t="shared" si="5"/>
        <v>0</v>
      </c>
      <c r="H249" t="str">
        <f>IF(D249="PARSE_ERROR","Parse Error",IF(NOT(G249),IF(D249=E249,"No Conflict (Correct)","No Conflict (Incorrect)"),IF(D249=E249,"Guideline-compliant",IF(D249=F249,"Knowledge-override","Neither"))))</f>
        <v>No Conflict (Correct)</v>
      </c>
    </row>
    <row r="250" spans="1:8" x14ac:dyDescent="0.2">
      <c r="A250" s="2" t="s">
        <v>29</v>
      </c>
      <c r="B250" s="2" t="s">
        <v>9</v>
      </c>
      <c r="C250" s="2">
        <v>41</v>
      </c>
      <c r="D250" s="2" t="s">
        <v>58</v>
      </c>
      <c r="E250" s="2" t="s">
        <v>58</v>
      </c>
      <c r="F250" s="2" t="str">
        <f t="shared" si="6"/>
        <v>ConfirmPromptly</v>
      </c>
      <c r="G250" s="2" t="b">
        <f t="shared" si="5"/>
        <v>1</v>
      </c>
      <c r="H250" t="str">
        <f>IF(D250="PARSE_ERROR","Parse Error",IF(NOT(G250),IF(D250=E250,"No Conflict (Correct)","No Conflict (Incorrect)"),IF(D250=E250,"Guideline-compliant",IF(D250=F250,"Knowledge-override","Neither"))))</f>
        <v>Guideline-compliant</v>
      </c>
    </row>
    <row r="251" spans="1:8" x14ac:dyDescent="0.2">
      <c r="A251" s="2" t="s">
        <v>29</v>
      </c>
      <c r="B251" s="2" t="s">
        <v>9</v>
      </c>
      <c r="C251" s="2">
        <v>44</v>
      </c>
      <c r="D251" s="2" t="s">
        <v>62</v>
      </c>
      <c r="E251" s="2" t="s">
        <v>62</v>
      </c>
      <c r="F251" s="2" t="str">
        <f t="shared" si="6"/>
        <v>ConfirmPromptly</v>
      </c>
      <c r="G251" s="2" t="b">
        <f t="shared" si="5"/>
        <v>0</v>
      </c>
      <c r="H251" t="str">
        <f>IF(D251="PARSE_ERROR","Parse Error",IF(NOT(G251),IF(D251=E251,"No Conflict (Correct)","No Conflict (Incorrect)"),IF(D251=E251,"Guideline-compliant",IF(D251=F251,"Knowledge-override","Neither"))))</f>
        <v>No Conflict (Correct)</v>
      </c>
    </row>
    <row r="252" spans="1:8" x14ac:dyDescent="0.2">
      <c r="A252" s="2" t="s">
        <v>29</v>
      </c>
      <c r="B252" s="2" t="s">
        <v>9</v>
      </c>
      <c r="C252" s="2">
        <v>45</v>
      </c>
      <c r="D252" s="2" t="s">
        <v>58</v>
      </c>
      <c r="E252" s="2" t="s">
        <v>62</v>
      </c>
      <c r="F252" s="2" t="str">
        <f t="shared" si="6"/>
        <v>ConfirmPromptly</v>
      </c>
      <c r="G252" s="2" t="b">
        <f t="shared" si="5"/>
        <v>0</v>
      </c>
      <c r="H252" t="str">
        <f>IF(D252="PARSE_ERROR","Parse Error",IF(NOT(G252),IF(D252=E252,"No Conflict (Correct)","No Conflict (Incorrect)"),IF(D252=E252,"Guideline-compliant",IF(D252=F252,"Knowledge-override","Neither"))))</f>
        <v>No Conflict (Incorrect)</v>
      </c>
    </row>
    <row r="253" spans="1:8" x14ac:dyDescent="0.2">
      <c r="A253" s="2" t="s">
        <v>29</v>
      </c>
      <c r="B253" s="2" t="s">
        <v>9</v>
      </c>
      <c r="C253" s="2">
        <v>51</v>
      </c>
      <c r="D253" s="2" t="s">
        <v>62</v>
      </c>
      <c r="E253" s="2" t="s">
        <v>62</v>
      </c>
      <c r="F253" s="2" t="str">
        <f t="shared" si="6"/>
        <v>EvaluateEmergency</v>
      </c>
      <c r="G253" s="2" t="b">
        <f t="shared" si="5"/>
        <v>1</v>
      </c>
      <c r="H253" t="str">
        <f>IF(D253="PARSE_ERROR","Parse Error",IF(NOT(G253),IF(D253=E253,"No Conflict (Correct)","No Conflict (Incorrect)"),IF(D253=E253,"Guideline-compliant",IF(D253=F253,"Knowledge-override","Neither"))))</f>
        <v>Guideline-compliant</v>
      </c>
    </row>
    <row r="254" spans="1:8" x14ac:dyDescent="0.2">
      <c r="A254" s="2" t="s">
        <v>29</v>
      </c>
      <c r="B254" s="2" t="s">
        <v>9</v>
      </c>
      <c r="C254" s="2">
        <v>59</v>
      </c>
      <c r="D254" s="2" t="s">
        <v>62</v>
      </c>
      <c r="E254" s="2" t="s">
        <v>62</v>
      </c>
      <c r="F254" s="2" t="str">
        <f t="shared" si="6"/>
        <v>EvaluateEmergency</v>
      </c>
      <c r="G254" s="2" t="b">
        <f t="shared" si="5"/>
        <v>1</v>
      </c>
      <c r="H254" t="str">
        <f>IF(D254="PARSE_ERROR","Parse Error",IF(NOT(G254),IF(D254=E254,"No Conflict (Correct)","No Conflict (Incorrect)"),IF(D254=E254,"Guideline-compliant",IF(D254=F254,"Knowledge-override","Neither"))))</f>
        <v>Guideline-compliant</v>
      </c>
    </row>
    <row r="255" spans="1:8" x14ac:dyDescent="0.2">
      <c r="A255" s="2" t="s">
        <v>29</v>
      </c>
      <c r="B255" s="2" t="s">
        <v>9</v>
      </c>
      <c r="C255" s="2">
        <v>56</v>
      </c>
      <c r="D255" s="2" t="s">
        <v>68</v>
      </c>
      <c r="E255" s="2" t="s">
        <v>62</v>
      </c>
      <c r="F255" s="2" t="str">
        <f t="shared" si="6"/>
        <v>EvaluateEmergency</v>
      </c>
      <c r="G255" s="2" t="b">
        <f t="shared" si="5"/>
        <v>1</v>
      </c>
      <c r="H255" t="str">
        <f>IF(D255="PARSE_ERROR","Parse Error",IF(NOT(G255),IF(D255=E255,"No Conflict (Correct)","No Conflict (Incorrect)"),IF(D255=E255,"Guideline-compliant",IF(D255=F255,"Knowledge-override","Neither"))))</f>
        <v>Neither</v>
      </c>
    </row>
    <row r="256" spans="1:8" x14ac:dyDescent="0.2">
      <c r="A256" s="2" t="s">
        <v>30</v>
      </c>
      <c r="B256" s="2" t="s">
        <v>9</v>
      </c>
      <c r="C256" s="2">
        <v>1</v>
      </c>
      <c r="D256" s="2" t="s">
        <v>28</v>
      </c>
      <c r="E256" s="2" t="s">
        <v>49</v>
      </c>
      <c r="F256" s="2" t="str">
        <f t="shared" si="6"/>
        <v>Screen_3y</v>
      </c>
      <c r="G256" s="2" t="b">
        <f t="shared" si="5"/>
        <v>0</v>
      </c>
      <c r="H256" t="str">
        <f>IF(D256="PARSE_ERROR","Parse Error",IF(NOT(G256),IF(D256=E256,"No Conflict (Correct)","No Conflict (Incorrect)"),IF(D256=E256,"Guideline-compliant",IF(D256=F256,"Knowledge-override","Neither"))))</f>
        <v>Parse Error</v>
      </c>
    </row>
    <row r="257" spans="1:8" x14ac:dyDescent="0.2">
      <c r="A257" s="2" t="s">
        <v>30</v>
      </c>
      <c r="B257" s="2" t="s">
        <v>9</v>
      </c>
      <c r="C257" s="2">
        <v>2</v>
      </c>
      <c r="D257" s="2" t="s">
        <v>28</v>
      </c>
      <c r="E257" s="2" t="s">
        <v>51</v>
      </c>
      <c r="F257" s="2" t="str">
        <f t="shared" si="6"/>
        <v>Screen_1y</v>
      </c>
      <c r="G257" s="2" t="b">
        <f t="shared" si="5"/>
        <v>0</v>
      </c>
      <c r="H257" t="str">
        <f>IF(D257="PARSE_ERROR","Parse Error",IF(NOT(G257),IF(D257=E257,"No Conflict (Correct)","No Conflict (Incorrect)"),IF(D257=E257,"Guideline-compliant",IF(D257=F257,"Knowledge-override","Neither"))))</f>
        <v>Parse Error</v>
      </c>
    </row>
    <row r="258" spans="1:8" x14ac:dyDescent="0.2">
      <c r="A258" s="2" t="s">
        <v>30</v>
      </c>
      <c r="B258" s="2" t="s">
        <v>9</v>
      </c>
      <c r="C258" s="2">
        <v>11</v>
      </c>
      <c r="D258" s="2" t="s">
        <v>28</v>
      </c>
      <c r="E258" s="2" t="s">
        <v>49</v>
      </c>
      <c r="F258" s="2" t="str">
        <f t="shared" si="6"/>
        <v>Screen_1y</v>
      </c>
      <c r="G258" s="2" t="b">
        <f t="shared" si="5"/>
        <v>1</v>
      </c>
      <c r="H258" t="str">
        <f>IF(D258="PARSE_ERROR","Parse Error",IF(NOT(G258),IF(D258=E258,"No Conflict (Correct)","No Conflict (Incorrect)"),IF(D258=E258,"Guideline-compliant",IF(D258=F258,"Knowledge-override","Neither"))))</f>
        <v>Parse Error</v>
      </c>
    </row>
    <row r="259" spans="1:8" x14ac:dyDescent="0.2">
      <c r="A259" s="2" t="s">
        <v>30</v>
      </c>
      <c r="B259" s="2" t="s">
        <v>9</v>
      </c>
      <c r="C259" s="2">
        <v>12</v>
      </c>
      <c r="D259" s="2" t="s">
        <v>28</v>
      </c>
      <c r="E259" s="2" t="s">
        <v>49</v>
      </c>
      <c r="F259" s="2" t="str">
        <f t="shared" si="6"/>
        <v>Confirm</v>
      </c>
      <c r="G259" s="2" t="b">
        <f t="shared" si="5"/>
        <v>1</v>
      </c>
      <c r="H259" t="str">
        <f>IF(D259="PARSE_ERROR","Parse Error",IF(NOT(G259),IF(D259=E259,"No Conflict (Correct)","No Conflict (Incorrect)"),IF(D259=E259,"Guideline-compliant",IF(D259=F259,"Knowledge-override","Neither"))))</f>
        <v>Parse Error</v>
      </c>
    </row>
    <row r="260" spans="1:8" x14ac:dyDescent="0.2">
      <c r="A260" s="2" t="s">
        <v>30</v>
      </c>
      <c r="B260" s="2" t="s">
        <v>9</v>
      </c>
      <c r="C260" s="2">
        <v>13</v>
      </c>
      <c r="D260" s="2" t="s">
        <v>28</v>
      </c>
      <c r="E260" s="2" t="s">
        <v>51</v>
      </c>
      <c r="F260" s="2" t="str">
        <f t="shared" si="6"/>
        <v>Screen_1y</v>
      </c>
      <c r="G260" s="2" t="b">
        <f t="shared" si="5"/>
        <v>0</v>
      </c>
      <c r="H260" t="str">
        <f>IF(D260="PARSE_ERROR","Parse Error",IF(NOT(G260),IF(D260=E260,"No Conflict (Correct)","No Conflict (Incorrect)"),IF(D260=E260,"Guideline-compliant",IF(D260=F260,"Knowledge-override","Neither"))))</f>
        <v>Parse Error</v>
      </c>
    </row>
    <row r="261" spans="1:8" x14ac:dyDescent="0.2">
      <c r="A261" s="2" t="s">
        <v>30</v>
      </c>
      <c r="B261" s="2" t="s">
        <v>9</v>
      </c>
      <c r="C261" s="2">
        <v>14</v>
      </c>
      <c r="D261" s="2" t="s">
        <v>28</v>
      </c>
      <c r="E261" s="2" t="s">
        <v>51</v>
      </c>
      <c r="F261" s="2" t="str">
        <f t="shared" si="6"/>
        <v>Confirm</v>
      </c>
      <c r="G261" s="2" t="b">
        <f t="shared" si="5"/>
        <v>1</v>
      </c>
      <c r="H261" t="str">
        <f>IF(D261="PARSE_ERROR","Parse Error",IF(NOT(G261),IF(D261=E261,"No Conflict (Correct)","No Conflict (Incorrect)"),IF(D261=E261,"Guideline-compliant",IF(D261=F261,"Knowledge-override","Neither"))))</f>
        <v>Parse Error</v>
      </c>
    </row>
    <row r="262" spans="1:8" x14ac:dyDescent="0.2">
      <c r="A262" s="2" t="s">
        <v>30</v>
      </c>
      <c r="B262" s="2" t="s">
        <v>9</v>
      </c>
      <c r="C262" s="2">
        <v>26</v>
      </c>
      <c r="D262" s="2" t="s">
        <v>28</v>
      </c>
      <c r="E262" s="2" t="s">
        <v>51</v>
      </c>
      <c r="F262" s="2" t="str">
        <f t="shared" si="6"/>
        <v>Confirm</v>
      </c>
      <c r="G262" s="2" t="b">
        <f t="shared" si="5"/>
        <v>1</v>
      </c>
      <c r="H262" t="str">
        <f>IF(D262="PARSE_ERROR","Parse Error",IF(NOT(G262),IF(D262=E262,"No Conflict (Correct)","No Conflict (Incorrect)"),IF(D262=E262,"Guideline-compliant",IF(D262=F262,"Knowledge-override","Neither"))))</f>
        <v>Parse Error</v>
      </c>
    </row>
    <row r="263" spans="1:8" x14ac:dyDescent="0.2">
      <c r="A263" s="2" t="s">
        <v>30</v>
      </c>
      <c r="B263" s="2" t="s">
        <v>9</v>
      </c>
      <c r="C263" s="2">
        <v>31</v>
      </c>
      <c r="D263" s="2" t="s">
        <v>28</v>
      </c>
      <c r="E263" s="2" t="s">
        <v>51</v>
      </c>
      <c r="F263" s="2" t="str">
        <f t="shared" si="6"/>
        <v>Confirm</v>
      </c>
      <c r="G263" s="2" t="b">
        <f t="shared" si="5"/>
        <v>1</v>
      </c>
      <c r="H263" t="str">
        <f>IF(D263="PARSE_ERROR","Parse Error",IF(NOT(G263),IF(D263=E263,"No Conflict (Correct)","No Conflict (Incorrect)"),IF(D263=E263,"Guideline-compliant",IF(D263=F263,"Knowledge-override","Neither"))))</f>
        <v>Parse Error</v>
      </c>
    </row>
    <row r="264" spans="1:8" x14ac:dyDescent="0.2">
      <c r="A264" s="2" t="s">
        <v>30</v>
      </c>
      <c r="B264" s="2" t="s">
        <v>9</v>
      </c>
      <c r="C264" s="2">
        <v>33</v>
      </c>
      <c r="D264" s="2" t="s">
        <v>28</v>
      </c>
      <c r="E264" s="2" t="s">
        <v>58</v>
      </c>
      <c r="F264" s="2" t="str">
        <f t="shared" si="6"/>
        <v>Confirm</v>
      </c>
      <c r="G264" s="2" t="b">
        <f t="shared" si="5"/>
        <v>0</v>
      </c>
      <c r="H264" t="str">
        <f>IF(D264="PARSE_ERROR","Parse Error",IF(NOT(G264),IF(D264=E264,"No Conflict (Correct)","No Conflict (Incorrect)"),IF(D264=E264,"Guideline-compliant",IF(D264=F264,"Knowledge-override","Neither"))))</f>
        <v>Parse Error</v>
      </c>
    </row>
    <row r="265" spans="1:8" x14ac:dyDescent="0.2">
      <c r="A265" s="2" t="s">
        <v>30</v>
      </c>
      <c r="B265" s="2" t="s">
        <v>9</v>
      </c>
      <c r="C265" s="2">
        <v>41</v>
      </c>
      <c r="D265" s="2" t="s">
        <v>28</v>
      </c>
      <c r="E265" s="2" t="s">
        <v>58</v>
      </c>
      <c r="F265" s="2" t="str">
        <f t="shared" si="6"/>
        <v>ConfirmPromptly</v>
      </c>
      <c r="G265" s="2" t="b">
        <f t="shared" si="5"/>
        <v>1</v>
      </c>
      <c r="H265" t="str">
        <f>IF(D265="PARSE_ERROR","Parse Error",IF(NOT(G265),IF(D265=E265,"No Conflict (Correct)","No Conflict (Incorrect)"),IF(D265=E265,"Guideline-compliant",IF(D265=F265,"Knowledge-override","Neither"))))</f>
        <v>Parse Error</v>
      </c>
    </row>
    <row r="266" spans="1:8" x14ac:dyDescent="0.2">
      <c r="A266" s="2" t="s">
        <v>30</v>
      </c>
      <c r="B266" s="2" t="s">
        <v>9</v>
      </c>
      <c r="C266" s="2">
        <v>44</v>
      </c>
      <c r="D266" s="2" t="s">
        <v>28</v>
      </c>
      <c r="E266" s="2" t="s">
        <v>62</v>
      </c>
      <c r="F266" s="2" t="str">
        <f t="shared" si="6"/>
        <v>ConfirmPromptly</v>
      </c>
      <c r="G266" s="2" t="b">
        <f t="shared" si="5"/>
        <v>0</v>
      </c>
      <c r="H266" t="str">
        <f>IF(D266="PARSE_ERROR","Parse Error",IF(NOT(G266),IF(D266=E266,"No Conflict (Correct)","No Conflict (Incorrect)"),IF(D266=E266,"Guideline-compliant",IF(D266=F266,"Knowledge-override","Neither"))))</f>
        <v>Parse Error</v>
      </c>
    </row>
    <row r="267" spans="1:8" x14ac:dyDescent="0.2">
      <c r="A267" s="2" t="s">
        <v>30</v>
      </c>
      <c r="B267" s="2" t="s">
        <v>9</v>
      </c>
      <c r="C267" s="2">
        <v>45</v>
      </c>
      <c r="D267" s="2" t="s">
        <v>28</v>
      </c>
      <c r="E267" s="2" t="s">
        <v>62</v>
      </c>
      <c r="F267" s="2" t="str">
        <f t="shared" si="6"/>
        <v>ConfirmPromptly</v>
      </c>
      <c r="G267" s="2" t="b">
        <f t="shared" si="5"/>
        <v>0</v>
      </c>
      <c r="H267" t="str">
        <f>IF(D267="PARSE_ERROR","Parse Error",IF(NOT(G267),IF(D267=E267,"No Conflict (Correct)","No Conflict (Incorrect)"),IF(D267=E267,"Guideline-compliant",IF(D267=F267,"Knowledge-override","Neither"))))</f>
        <v>Parse Error</v>
      </c>
    </row>
    <row r="268" spans="1:8" x14ac:dyDescent="0.2">
      <c r="A268" s="2" t="s">
        <v>30</v>
      </c>
      <c r="B268" s="2" t="s">
        <v>9</v>
      </c>
      <c r="C268" s="2">
        <v>51</v>
      </c>
      <c r="D268" s="2" t="s">
        <v>28</v>
      </c>
      <c r="E268" s="2" t="s">
        <v>62</v>
      </c>
      <c r="F268" s="2" t="str">
        <f t="shared" si="6"/>
        <v>EvaluateEmergency</v>
      </c>
      <c r="G268" s="2" t="b">
        <f t="shared" si="5"/>
        <v>1</v>
      </c>
      <c r="H268" t="str">
        <f>IF(D268="PARSE_ERROR","Parse Error",IF(NOT(G268),IF(D268=E268,"No Conflict (Correct)","No Conflict (Incorrect)"),IF(D268=E268,"Guideline-compliant",IF(D268=F268,"Knowledge-override","Neither"))))</f>
        <v>Parse Error</v>
      </c>
    </row>
    <row r="269" spans="1:8" x14ac:dyDescent="0.2">
      <c r="A269" s="2" t="s">
        <v>30</v>
      </c>
      <c r="B269" s="2" t="s">
        <v>9</v>
      </c>
      <c r="C269" s="2">
        <v>59</v>
      </c>
      <c r="D269" s="2" t="s">
        <v>28</v>
      </c>
      <c r="E269" s="2" t="s">
        <v>62</v>
      </c>
      <c r="F269" s="2" t="str">
        <f t="shared" si="6"/>
        <v>EvaluateEmergency</v>
      </c>
      <c r="G269" s="2" t="b">
        <f t="shared" si="5"/>
        <v>1</v>
      </c>
      <c r="H269" t="str">
        <f>IF(D269="PARSE_ERROR","Parse Error",IF(NOT(G269),IF(D269=E269,"No Conflict (Correct)","No Conflict (Incorrect)"),IF(D269=E269,"Guideline-compliant",IF(D269=F269,"Knowledge-override","Neither"))))</f>
        <v>Parse Error</v>
      </c>
    </row>
    <row r="270" spans="1:8" x14ac:dyDescent="0.2">
      <c r="A270" s="2" t="s">
        <v>30</v>
      </c>
      <c r="B270" s="2" t="s">
        <v>9</v>
      </c>
      <c r="C270" s="2">
        <v>56</v>
      </c>
      <c r="D270" s="2" t="s">
        <v>28</v>
      </c>
      <c r="E270" s="2" t="s">
        <v>62</v>
      </c>
      <c r="F270" s="2" t="str">
        <f t="shared" si="6"/>
        <v>EvaluateEmergency</v>
      </c>
      <c r="G270" s="2" t="b">
        <f t="shared" si="5"/>
        <v>1</v>
      </c>
      <c r="H270" t="str">
        <f>IF(D270="PARSE_ERROR","Parse Error",IF(NOT(G270),IF(D270=E270,"No Conflict (Correct)","No Conflict (Incorrect)"),IF(D270=E270,"Guideline-compliant",IF(D270=F270,"Knowledge-override","Neither"))))</f>
        <v>Parse Error</v>
      </c>
    </row>
    <row r="271" spans="1:8" x14ac:dyDescent="0.2">
      <c r="A271" s="2" t="s">
        <v>8</v>
      </c>
      <c r="B271" s="2" t="s">
        <v>31</v>
      </c>
      <c r="C271" s="2">
        <v>1</v>
      </c>
      <c r="D271" s="2" t="s">
        <v>58</v>
      </c>
      <c r="E271" s="2" t="s">
        <v>58</v>
      </c>
      <c r="F271" s="2" t="str">
        <f t="shared" si="6"/>
        <v>Screen_3y</v>
      </c>
      <c r="G271" s="2" t="b">
        <f t="shared" si="5"/>
        <v>1</v>
      </c>
      <c r="H271" t="str">
        <f>IF(D271="PARSE_ERROR","Parse Error",IF(NOT(G271),IF(D271=E271,"No Conflict (Correct)","No Conflict (Incorrect)"),IF(D271=E271,"Guideline-compliant",IF(D271=F271,"Knowledge-override","Neither"))))</f>
        <v>Guideline-compliant</v>
      </c>
    </row>
    <row r="272" spans="1:8" x14ac:dyDescent="0.2">
      <c r="A272" s="2" t="s">
        <v>8</v>
      </c>
      <c r="B272" s="2" t="s">
        <v>31</v>
      </c>
      <c r="C272" s="2">
        <v>2</v>
      </c>
      <c r="D272" s="2" t="s">
        <v>58</v>
      </c>
      <c r="E272" s="2" t="s">
        <v>58</v>
      </c>
      <c r="F272" s="2" t="str">
        <f t="shared" si="6"/>
        <v>Screen_1y</v>
      </c>
      <c r="G272" s="2" t="b">
        <f t="shared" si="5"/>
        <v>1</v>
      </c>
      <c r="H272" t="str">
        <f>IF(D272="PARSE_ERROR","Parse Error",IF(NOT(G272),IF(D272=E272,"No Conflict (Correct)","No Conflict (Incorrect)"),IF(D272=E272,"Guideline-compliant",IF(D272=F272,"Knowledge-override","Neither"))))</f>
        <v>Guideline-compliant</v>
      </c>
    </row>
    <row r="273" spans="1:8" x14ac:dyDescent="0.2">
      <c r="A273" s="2" t="s">
        <v>8</v>
      </c>
      <c r="B273" s="2" t="s">
        <v>31</v>
      </c>
      <c r="C273" s="2">
        <v>11</v>
      </c>
      <c r="D273" s="2" t="s">
        <v>58</v>
      </c>
      <c r="E273" s="2" t="s">
        <v>58</v>
      </c>
      <c r="F273" s="2" t="str">
        <f t="shared" si="6"/>
        <v>Screen_1y</v>
      </c>
      <c r="G273" s="2" t="b">
        <f t="shared" si="5"/>
        <v>1</v>
      </c>
      <c r="H273" t="str">
        <f>IF(D273="PARSE_ERROR","Parse Error",IF(NOT(G273),IF(D273=E273,"No Conflict (Correct)","No Conflict (Incorrect)"),IF(D273=E273,"Guideline-compliant",IF(D273=F273,"Knowledge-override","Neither"))))</f>
        <v>Guideline-compliant</v>
      </c>
    </row>
    <row r="274" spans="1:8" x14ac:dyDescent="0.2">
      <c r="A274" s="2" t="s">
        <v>8</v>
      </c>
      <c r="B274" s="2" t="s">
        <v>31</v>
      </c>
      <c r="C274" s="2">
        <v>12</v>
      </c>
      <c r="D274" s="2" t="s">
        <v>58</v>
      </c>
      <c r="E274" s="2" t="s">
        <v>58</v>
      </c>
      <c r="F274" s="2" t="str">
        <f t="shared" si="6"/>
        <v>Confirm</v>
      </c>
      <c r="G274" s="2" t="b">
        <f t="shared" si="5"/>
        <v>0</v>
      </c>
      <c r="H274" t="str">
        <f>IF(D274="PARSE_ERROR","Parse Error",IF(NOT(G274),IF(D274=E274,"No Conflict (Correct)","No Conflict (Incorrect)"),IF(D274=E274,"Guideline-compliant",IF(D274=F274,"Knowledge-override","Neither"))))</f>
        <v>No Conflict (Correct)</v>
      </c>
    </row>
    <row r="275" spans="1:8" x14ac:dyDescent="0.2">
      <c r="A275" s="2" t="s">
        <v>8</v>
      </c>
      <c r="B275" s="2" t="s">
        <v>31</v>
      </c>
      <c r="C275" s="2">
        <v>13</v>
      </c>
      <c r="D275" s="2" t="s">
        <v>58</v>
      </c>
      <c r="E275" s="2" t="s">
        <v>58</v>
      </c>
      <c r="F275" s="2" t="str">
        <f t="shared" si="6"/>
        <v>Screen_1y</v>
      </c>
      <c r="G275" s="2" t="b">
        <f t="shared" ref="G275:G338" si="7">IF(F275="N/A",FALSE(),E275&lt;&gt;F275)</f>
        <v>1</v>
      </c>
      <c r="H275" t="str">
        <f>IF(D275="PARSE_ERROR","Parse Error",IF(NOT(G275),IF(D275=E275,"No Conflict (Correct)","No Conflict (Incorrect)"),IF(D275=E275,"Guideline-compliant",IF(D275=F275,"Knowledge-override","Neither"))))</f>
        <v>Guideline-compliant</v>
      </c>
    </row>
    <row r="276" spans="1:8" x14ac:dyDescent="0.2">
      <c r="A276" s="2" t="s">
        <v>8</v>
      </c>
      <c r="B276" s="2" t="s">
        <v>31</v>
      </c>
      <c r="C276" s="2">
        <v>14</v>
      </c>
      <c r="D276" s="2" t="s">
        <v>58</v>
      </c>
      <c r="E276" s="2" t="s">
        <v>58</v>
      </c>
      <c r="F276" s="2" t="str">
        <f t="shared" si="6"/>
        <v>Confirm</v>
      </c>
      <c r="G276" s="2" t="b">
        <f t="shared" si="7"/>
        <v>0</v>
      </c>
      <c r="H276" t="str">
        <f>IF(D276="PARSE_ERROR","Parse Error",IF(NOT(G276),IF(D276=E276,"No Conflict (Correct)","No Conflict (Incorrect)"),IF(D276=E276,"Guideline-compliant",IF(D276=F276,"Knowledge-override","Neither"))))</f>
        <v>No Conflict (Correct)</v>
      </c>
    </row>
    <row r="277" spans="1:8" x14ac:dyDescent="0.2">
      <c r="A277" s="2" t="s">
        <v>8</v>
      </c>
      <c r="B277" s="2" t="s">
        <v>31</v>
      </c>
      <c r="C277" s="2">
        <v>26</v>
      </c>
      <c r="D277" s="2" t="s">
        <v>69</v>
      </c>
      <c r="E277" s="2" t="s">
        <v>69</v>
      </c>
      <c r="F277" s="2" t="str">
        <f t="shared" ref="F277:F340" si="8">IFERROR(INDEX($K$211:$K$225,MATCH(C277,$J$211:$J$225,0)),"N/A")</f>
        <v>Confirm</v>
      </c>
      <c r="G277" s="2" t="b">
        <f t="shared" si="7"/>
        <v>1</v>
      </c>
      <c r="H277" t="str">
        <f>IF(D277="PARSE_ERROR","Parse Error",IF(NOT(G277),IF(D277=E277,"No Conflict (Correct)","No Conflict (Incorrect)"),IF(D277=E277,"Guideline-compliant",IF(D277=F277,"Knowledge-override","Neither"))))</f>
        <v>Guideline-compliant</v>
      </c>
    </row>
    <row r="278" spans="1:8" x14ac:dyDescent="0.2">
      <c r="A278" s="2" t="s">
        <v>8</v>
      </c>
      <c r="B278" s="2" t="s">
        <v>31</v>
      </c>
      <c r="C278" s="2">
        <v>31</v>
      </c>
      <c r="D278" s="2" t="s">
        <v>69</v>
      </c>
      <c r="E278" s="2" t="s">
        <v>69</v>
      </c>
      <c r="F278" s="2" t="str">
        <f t="shared" si="8"/>
        <v>Confirm</v>
      </c>
      <c r="G278" s="2" t="b">
        <f t="shared" si="7"/>
        <v>1</v>
      </c>
      <c r="H278" t="str">
        <f>IF(D278="PARSE_ERROR","Parse Error",IF(NOT(G278),IF(D278=E278,"No Conflict (Correct)","No Conflict (Incorrect)"),IF(D278=E278,"Guideline-compliant",IF(D278=F278,"Knowledge-override","Neither"))))</f>
        <v>Guideline-compliant</v>
      </c>
    </row>
    <row r="279" spans="1:8" x14ac:dyDescent="0.2">
      <c r="A279" s="2" t="s">
        <v>8</v>
      </c>
      <c r="B279" s="2" t="s">
        <v>31</v>
      </c>
      <c r="C279" s="2">
        <v>33</v>
      </c>
      <c r="D279" s="2" t="s">
        <v>69</v>
      </c>
      <c r="E279" s="2" t="s">
        <v>69</v>
      </c>
      <c r="F279" s="2" t="str">
        <f t="shared" si="8"/>
        <v>Confirm</v>
      </c>
      <c r="G279" s="2" t="b">
        <f t="shared" si="7"/>
        <v>1</v>
      </c>
      <c r="H279" t="str">
        <f>IF(D279="PARSE_ERROR","Parse Error",IF(NOT(G279),IF(D279=E279,"No Conflict (Correct)","No Conflict (Incorrect)"),IF(D279=E279,"Guideline-compliant",IF(D279=F279,"Knowledge-override","Neither"))))</f>
        <v>Guideline-compliant</v>
      </c>
    </row>
    <row r="280" spans="1:8" x14ac:dyDescent="0.2">
      <c r="A280" s="2" t="s">
        <v>8</v>
      </c>
      <c r="B280" s="2" t="s">
        <v>31</v>
      </c>
      <c r="C280" s="2">
        <v>41</v>
      </c>
      <c r="D280" s="2" t="s">
        <v>69</v>
      </c>
      <c r="E280" s="2" t="s">
        <v>69</v>
      </c>
      <c r="F280" s="2" t="str">
        <f t="shared" si="8"/>
        <v>ConfirmPromptly</v>
      </c>
      <c r="G280" s="2" t="b">
        <f t="shared" si="7"/>
        <v>1</v>
      </c>
      <c r="H280" t="str">
        <f>IF(D280="PARSE_ERROR","Parse Error",IF(NOT(G280),IF(D280=E280,"No Conflict (Correct)","No Conflict (Incorrect)"),IF(D280=E280,"Guideline-compliant",IF(D280=F280,"Knowledge-override","Neither"))))</f>
        <v>Guideline-compliant</v>
      </c>
    </row>
    <row r="281" spans="1:8" x14ac:dyDescent="0.2">
      <c r="A281" s="2" t="s">
        <v>8</v>
      </c>
      <c r="B281" s="2" t="s">
        <v>31</v>
      </c>
      <c r="C281" s="2">
        <v>44</v>
      </c>
      <c r="D281" s="2" t="s">
        <v>69</v>
      </c>
      <c r="E281" s="2" t="s">
        <v>69</v>
      </c>
      <c r="F281" s="2" t="str">
        <f t="shared" si="8"/>
        <v>ConfirmPromptly</v>
      </c>
      <c r="G281" s="2" t="b">
        <f t="shared" si="7"/>
        <v>1</v>
      </c>
      <c r="H281" t="str">
        <f>IF(D281="PARSE_ERROR","Parse Error",IF(NOT(G281),IF(D281=E281,"No Conflict (Correct)","No Conflict (Incorrect)"),IF(D281=E281,"Guideline-compliant",IF(D281=F281,"Knowledge-override","Neither"))))</f>
        <v>Guideline-compliant</v>
      </c>
    </row>
    <row r="282" spans="1:8" x14ac:dyDescent="0.2">
      <c r="A282" s="2" t="s">
        <v>8</v>
      </c>
      <c r="B282" s="2" t="s">
        <v>31</v>
      </c>
      <c r="C282" s="2">
        <v>45</v>
      </c>
      <c r="D282" s="2" t="s">
        <v>69</v>
      </c>
      <c r="E282" s="2" t="s">
        <v>69</v>
      </c>
      <c r="F282" s="2" t="str">
        <f t="shared" si="8"/>
        <v>ConfirmPromptly</v>
      </c>
      <c r="G282" s="2" t="b">
        <f t="shared" si="7"/>
        <v>1</v>
      </c>
      <c r="H282" t="str">
        <f>IF(D282="PARSE_ERROR","Parse Error",IF(NOT(G282),IF(D282=E282,"No Conflict (Correct)","No Conflict (Incorrect)"),IF(D282=E282,"Guideline-compliant",IF(D282=F282,"Knowledge-override","Neither"))))</f>
        <v>Guideline-compliant</v>
      </c>
    </row>
    <row r="283" spans="1:8" x14ac:dyDescent="0.2">
      <c r="A283" s="2" t="s">
        <v>8</v>
      </c>
      <c r="B283" s="2" t="s">
        <v>31</v>
      </c>
      <c r="C283" s="2">
        <v>51</v>
      </c>
      <c r="D283" s="2" t="s">
        <v>69</v>
      </c>
      <c r="E283" s="2" t="s">
        <v>69</v>
      </c>
      <c r="F283" s="2" t="str">
        <f t="shared" si="8"/>
        <v>EvaluateEmergency</v>
      </c>
      <c r="G283" s="2" t="b">
        <f t="shared" si="7"/>
        <v>0</v>
      </c>
      <c r="H283" t="str">
        <f>IF(D283="PARSE_ERROR","Parse Error",IF(NOT(G283),IF(D283=E283,"No Conflict (Correct)","No Conflict (Incorrect)"),IF(D283=E283,"Guideline-compliant",IF(D283=F283,"Knowledge-override","Neither"))))</f>
        <v>No Conflict (Correct)</v>
      </c>
    </row>
    <row r="284" spans="1:8" x14ac:dyDescent="0.2">
      <c r="A284" s="2" t="s">
        <v>8</v>
      </c>
      <c r="B284" s="2" t="s">
        <v>31</v>
      </c>
      <c r="C284" s="2">
        <v>59</v>
      </c>
      <c r="D284" s="2" t="s">
        <v>69</v>
      </c>
      <c r="E284" s="2" t="s">
        <v>69</v>
      </c>
      <c r="F284" s="2" t="str">
        <f t="shared" si="8"/>
        <v>EvaluateEmergency</v>
      </c>
      <c r="G284" s="2" t="b">
        <f t="shared" si="7"/>
        <v>0</v>
      </c>
      <c r="H284" t="str">
        <f>IF(D284="PARSE_ERROR","Parse Error",IF(NOT(G284),IF(D284=E284,"No Conflict (Correct)","No Conflict (Incorrect)"),IF(D284=E284,"Guideline-compliant",IF(D284=F284,"Knowledge-override","Neither"))))</f>
        <v>No Conflict (Correct)</v>
      </c>
    </row>
    <row r="285" spans="1:8" x14ac:dyDescent="0.2">
      <c r="A285" s="2" t="s">
        <v>8</v>
      </c>
      <c r="B285" s="2" t="s">
        <v>31</v>
      </c>
      <c r="C285" s="2">
        <v>56</v>
      </c>
      <c r="D285" s="2" t="s">
        <v>69</v>
      </c>
      <c r="E285" s="2" t="s">
        <v>69</v>
      </c>
      <c r="F285" s="2" t="str">
        <f t="shared" si="8"/>
        <v>EvaluateEmergency</v>
      </c>
      <c r="G285" s="2" t="b">
        <f t="shared" si="7"/>
        <v>0</v>
      </c>
      <c r="H285" t="str">
        <f>IF(D285="PARSE_ERROR","Parse Error",IF(NOT(G285),IF(D285=E285,"No Conflict (Correct)","No Conflict (Incorrect)"),IF(D285=E285,"Guideline-compliant",IF(D285=F285,"Knowledge-override","Neither"))))</f>
        <v>No Conflict (Correct)</v>
      </c>
    </row>
    <row r="286" spans="1:8" x14ac:dyDescent="0.2">
      <c r="A286" s="2" t="s">
        <v>27</v>
      </c>
      <c r="B286" s="2" t="s">
        <v>31</v>
      </c>
      <c r="C286" s="2">
        <v>1</v>
      </c>
      <c r="D286" s="2" t="s">
        <v>58</v>
      </c>
      <c r="E286" s="2" t="s">
        <v>58</v>
      </c>
      <c r="F286" s="2" t="str">
        <f t="shared" si="8"/>
        <v>Screen_3y</v>
      </c>
      <c r="G286" s="2" t="b">
        <f t="shared" si="7"/>
        <v>1</v>
      </c>
      <c r="H286" t="str">
        <f>IF(D286="PARSE_ERROR","Parse Error",IF(NOT(G286),IF(D286=E286,"No Conflict (Correct)","No Conflict (Incorrect)"),IF(D286=E286,"Guideline-compliant",IF(D286=F286,"Knowledge-override","Neither"))))</f>
        <v>Guideline-compliant</v>
      </c>
    </row>
    <row r="287" spans="1:8" x14ac:dyDescent="0.2">
      <c r="A287" s="2" t="s">
        <v>27</v>
      </c>
      <c r="B287" s="2" t="s">
        <v>31</v>
      </c>
      <c r="C287" s="2">
        <v>2</v>
      </c>
      <c r="D287" s="2" t="s">
        <v>28</v>
      </c>
      <c r="E287" s="2" t="s">
        <v>58</v>
      </c>
      <c r="F287" s="2" t="str">
        <f t="shared" si="8"/>
        <v>Screen_1y</v>
      </c>
      <c r="G287" s="2" t="b">
        <f t="shared" si="7"/>
        <v>1</v>
      </c>
      <c r="H287" t="str">
        <f>IF(D287="PARSE_ERROR","Parse Error",IF(NOT(G287),IF(D287=E287,"No Conflict (Correct)","No Conflict (Incorrect)"),IF(D287=E287,"Guideline-compliant",IF(D287=F287,"Knowledge-override","Neither"))))</f>
        <v>Parse Error</v>
      </c>
    </row>
    <row r="288" spans="1:8" x14ac:dyDescent="0.2">
      <c r="A288" s="2" t="s">
        <v>27</v>
      </c>
      <c r="B288" s="2" t="s">
        <v>31</v>
      </c>
      <c r="C288" s="2">
        <v>11</v>
      </c>
      <c r="D288" s="2" t="s">
        <v>58</v>
      </c>
      <c r="E288" s="2" t="s">
        <v>58</v>
      </c>
      <c r="F288" s="2" t="str">
        <f t="shared" si="8"/>
        <v>Screen_1y</v>
      </c>
      <c r="G288" s="2" t="b">
        <f t="shared" si="7"/>
        <v>1</v>
      </c>
      <c r="H288" t="str">
        <f>IF(D288="PARSE_ERROR","Parse Error",IF(NOT(G288),IF(D288=E288,"No Conflict (Correct)","No Conflict (Incorrect)"),IF(D288=E288,"Guideline-compliant",IF(D288=F288,"Knowledge-override","Neither"))))</f>
        <v>Guideline-compliant</v>
      </c>
    </row>
    <row r="289" spans="1:8" x14ac:dyDescent="0.2">
      <c r="A289" s="2" t="s">
        <v>27</v>
      </c>
      <c r="B289" s="2" t="s">
        <v>31</v>
      </c>
      <c r="C289" s="2">
        <v>12</v>
      </c>
      <c r="D289" s="2" t="s">
        <v>28</v>
      </c>
      <c r="E289" s="2" t="s">
        <v>58</v>
      </c>
      <c r="F289" s="2" t="str">
        <f t="shared" si="8"/>
        <v>Confirm</v>
      </c>
      <c r="G289" s="2" t="b">
        <f t="shared" si="7"/>
        <v>0</v>
      </c>
      <c r="H289" t="str">
        <f>IF(D289="PARSE_ERROR","Parse Error",IF(NOT(G289),IF(D289=E289,"No Conflict (Correct)","No Conflict (Incorrect)"),IF(D289=E289,"Guideline-compliant",IF(D289=F289,"Knowledge-override","Neither"))))</f>
        <v>Parse Error</v>
      </c>
    </row>
    <row r="290" spans="1:8" x14ac:dyDescent="0.2">
      <c r="A290" s="2" t="s">
        <v>27</v>
      </c>
      <c r="B290" s="2" t="s">
        <v>31</v>
      </c>
      <c r="C290" s="2">
        <v>13</v>
      </c>
      <c r="D290" s="2" t="s">
        <v>58</v>
      </c>
      <c r="E290" s="2" t="s">
        <v>58</v>
      </c>
      <c r="F290" s="2" t="str">
        <f t="shared" si="8"/>
        <v>Screen_1y</v>
      </c>
      <c r="G290" s="2" t="b">
        <f t="shared" si="7"/>
        <v>1</v>
      </c>
      <c r="H290" t="str">
        <f>IF(D290="PARSE_ERROR","Parse Error",IF(NOT(G290),IF(D290=E290,"No Conflict (Correct)","No Conflict (Incorrect)"),IF(D290=E290,"Guideline-compliant",IF(D290=F290,"Knowledge-override","Neither"))))</f>
        <v>Guideline-compliant</v>
      </c>
    </row>
    <row r="291" spans="1:8" x14ac:dyDescent="0.2">
      <c r="A291" s="2" t="s">
        <v>27</v>
      </c>
      <c r="B291" s="2" t="s">
        <v>31</v>
      </c>
      <c r="C291" s="2">
        <v>14</v>
      </c>
      <c r="D291" s="2" t="s">
        <v>58</v>
      </c>
      <c r="E291" s="2" t="s">
        <v>58</v>
      </c>
      <c r="F291" s="2" t="str">
        <f t="shared" si="8"/>
        <v>Confirm</v>
      </c>
      <c r="G291" s="2" t="b">
        <f t="shared" si="7"/>
        <v>0</v>
      </c>
      <c r="H291" t="str">
        <f>IF(D291="PARSE_ERROR","Parse Error",IF(NOT(G291),IF(D291=E291,"No Conflict (Correct)","No Conflict (Incorrect)"),IF(D291=E291,"Guideline-compliant",IF(D291=F291,"Knowledge-override","Neither"))))</f>
        <v>No Conflict (Correct)</v>
      </c>
    </row>
    <row r="292" spans="1:8" x14ac:dyDescent="0.2">
      <c r="A292" s="2" t="s">
        <v>27</v>
      </c>
      <c r="B292" s="2" t="s">
        <v>31</v>
      </c>
      <c r="C292" s="2">
        <v>26</v>
      </c>
      <c r="D292" s="2" t="s">
        <v>28</v>
      </c>
      <c r="E292" s="2" t="s">
        <v>69</v>
      </c>
      <c r="F292" s="2" t="str">
        <f t="shared" si="8"/>
        <v>Confirm</v>
      </c>
      <c r="G292" s="2" t="b">
        <f t="shared" si="7"/>
        <v>1</v>
      </c>
      <c r="H292" t="str">
        <f>IF(D292="PARSE_ERROR","Parse Error",IF(NOT(G292),IF(D292=E292,"No Conflict (Correct)","No Conflict (Incorrect)"),IF(D292=E292,"Guideline-compliant",IF(D292=F292,"Knowledge-override","Neither"))))</f>
        <v>Parse Error</v>
      </c>
    </row>
    <row r="293" spans="1:8" x14ac:dyDescent="0.2">
      <c r="A293" s="2" t="s">
        <v>27</v>
      </c>
      <c r="B293" s="2" t="s">
        <v>31</v>
      </c>
      <c r="C293" s="2">
        <v>31</v>
      </c>
      <c r="D293" s="2" t="s">
        <v>28</v>
      </c>
      <c r="E293" s="2" t="s">
        <v>69</v>
      </c>
      <c r="F293" s="2" t="str">
        <f t="shared" si="8"/>
        <v>Confirm</v>
      </c>
      <c r="G293" s="2" t="b">
        <f t="shared" si="7"/>
        <v>1</v>
      </c>
      <c r="H293" t="str">
        <f>IF(D293="PARSE_ERROR","Parse Error",IF(NOT(G293),IF(D293=E293,"No Conflict (Correct)","No Conflict (Incorrect)"),IF(D293=E293,"Guideline-compliant",IF(D293=F293,"Knowledge-override","Neither"))))</f>
        <v>Parse Error</v>
      </c>
    </row>
    <row r="294" spans="1:8" x14ac:dyDescent="0.2">
      <c r="A294" s="2" t="s">
        <v>27</v>
      </c>
      <c r="B294" s="2" t="s">
        <v>31</v>
      </c>
      <c r="C294" s="2">
        <v>33</v>
      </c>
      <c r="D294" s="2" t="s">
        <v>69</v>
      </c>
      <c r="E294" s="2" t="s">
        <v>69</v>
      </c>
      <c r="F294" s="2" t="str">
        <f t="shared" si="8"/>
        <v>Confirm</v>
      </c>
      <c r="G294" s="2" t="b">
        <f t="shared" si="7"/>
        <v>1</v>
      </c>
      <c r="H294" t="str">
        <f>IF(D294="PARSE_ERROR","Parse Error",IF(NOT(G294),IF(D294=E294,"No Conflict (Correct)","No Conflict (Incorrect)"),IF(D294=E294,"Guideline-compliant",IF(D294=F294,"Knowledge-override","Neither"))))</f>
        <v>Guideline-compliant</v>
      </c>
    </row>
    <row r="295" spans="1:8" x14ac:dyDescent="0.2">
      <c r="A295" s="2" t="s">
        <v>27</v>
      </c>
      <c r="B295" s="2" t="s">
        <v>31</v>
      </c>
      <c r="C295" s="2">
        <v>41</v>
      </c>
      <c r="D295" s="2" t="s">
        <v>69</v>
      </c>
      <c r="E295" s="2" t="s">
        <v>69</v>
      </c>
      <c r="F295" s="2" t="str">
        <f t="shared" si="8"/>
        <v>ConfirmPromptly</v>
      </c>
      <c r="G295" s="2" t="b">
        <f t="shared" si="7"/>
        <v>1</v>
      </c>
      <c r="H295" t="str">
        <f>IF(D295="PARSE_ERROR","Parse Error",IF(NOT(G295),IF(D295=E295,"No Conflict (Correct)","No Conflict (Incorrect)"),IF(D295=E295,"Guideline-compliant",IF(D295=F295,"Knowledge-override","Neither"))))</f>
        <v>Guideline-compliant</v>
      </c>
    </row>
    <row r="296" spans="1:8" x14ac:dyDescent="0.2">
      <c r="A296" s="2" t="s">
        <v>27</v>
      </c>
      <c r="B296" s="2" t="s">
        <v>31</v>
      </c>
      <c r="C296" s="2">
        <v>44</v>
      </c>
      <c r="D296" s="2" t="s">
        <v>69</v>
      </c>
      <c r="E296" s="2" t="s">
        <v>69</v>
      </c>
      <c r="F296" s="2" t="str">
        <f t="shared" si="8"/>
        <v>ConfirmPromptly</v>
      </c>
      <c r="G296" s="2" t="b">
        <f t="shared" si="7"/>
        <v>1</v>
      </c>
      <c r="H296" t="str">
        <f>IF(D296="PARSE_ERROR","Parse Error",IF(NOT(G296),IF(D296=E296,"No Conflict (Correct)","No Conflict (Incorrect)"),IF(D296=E296,"Guideline-compliant",IF(D296=F296,"Knowledge-override","Neither"))))</f>
        <v>Guideline-compliant</v>
      </c>
    </row>
    <row r="297" spans="1:8" x14ac:dyDescent="0.2">
      <c r="A297" s="2" t="s">
        <v>27</v>
      </c>
      <c r="B297" s="2" t="s">
        <v>31</v>
      </c>
      <c r="C297" s="2">
        <v>45</v>
      </c>
      <c r="D297" s="2" t="s">
        <v>28</v>
      </c>
      <c r="E297" s="2" t="s">
        <v>69</v>
      </c>
      <c r="F297" s="2" t="str">
        <f t="shared" si="8"/>
        <v>ConfirmPromptly</v>
      </c>
      <c r="G297" s="2" t="b">
        <f t="shared" si="7"/>
        <v>1</v>
      </c>
      <c r="H297" t="str">
        <f>IF(D297="PARSE_ERROR","Parse Error",IF(NOT(G297),IF(D297=E297,"No Conflict (Correct)","No Conflict (Incorrect)"),IF(D297=E297,"Guideline-compliant",IF(D297=F297,"Knowledge-override","Neither"))))</f>
        <v>Parse Error</v>
      </c>
    </row>
    <row r="298" spans="1:8" x14ac:dyDescent="0.2">
      <c r="A298" s="2" t="s">
        <v>27</v>
      </c>
      <c r="B298" s="2" t="s">
        <v>31</v>
      </c>
      <c r="C298" s="2">
        <v>51</v>
      </c>
      <c r="D298" s="2" t="s">
        <v>69</v>
      </c>
      <c r="E298" s="2" t="s">
        <v>69</v>
      </c>
      <c r="F298" s="2" t="str">
        <f t="shared" si="8"/>
        <v>EvaluateEmergency</v>
      </c>
      <c r="G298" s="2" t="b">
        <f t="shared" si="7"/>
        <v>0</v>
      </c>
      <c r="H298" t="str">
        <f>IF(D298="PARSE_ERROR","Parse Error",IF(NOT(G298),IF(D298=E298,"No Conflict (Correct)","No Conflict (Incorrect)"),IF(D298=E298,"Guideline-compliant",IF(D298=F298,"Knowledge-override","Neither"))))</f>
        <v>No Conflict (Correct)</v>
      </c>
    </row>
    <row r="299" spans="1:8" x14ac:dyDescent="0.2">
      <c r="A299" s="2" t="s">
        <v>27</v>
      </c>
      <c r="B299" s="2" t="s">
        <v>31</v>
      </c>
      <c r="C299" s="2">
        <v>59</v>
      </c>
      <c r="D299" s="2" t="s">
        <v>69</v>
      </c>
      <c r="E299" s="2" t="s">
        <v>69</v>
      </c>
      <c r="F299" s="2" t="str">
        <f t="shared" si="8"/>
        <v>EvaluateEmergency</v>
      </c>
      <c r="G299" s="2" t="b">
        <f t="shared" si="7"/>
        <v>0</v>
      </c>
      <c r="H299" t="str">
        <f>IF(D299="PARSE_ERROR","Parse Error",IF(NOT(G299),IF(D299=E299,"No Conflict (Correct)","No Conflict (Incorrect)"),IF(D299=E299,"Guideline-compliant",IF(D299=F299,"Knowledge-override","Neither"))))</f>
        <v>No Conflict (Correct)</v>
      </c>
    </row>
    <row r="300" spans="1:8" x14ac:dyDescent="0.2">
      <c r="A300" s="2" t="s">
        <v>27</v>
      </c>
      <c r="B300" s="2" t="s">
        <v>31</v>
      </c>
      <c r="C300" s="2">
        <v>56</v>
      </c>
      <c r="D300" s="2" t="s">
        <v>28</v>
      </c>
      <c r="E300" s="2" t="s">
        <v>69</v>
      </c>
      <c r="F300" s="2" t="str">
        <f t="shared" si="8"/>
        <v>EvaluateEmergency</v>
      </c>
      <c r="G300" s="2" t="b">
        <f t="shared" si="7"/>
        <v>0</v>
      </c>
      <c r="H300" t="str">
        <f>IF(D300="PARSE_ERROR","Parse Error",IF(NOT(G300),IF(D300=E300,"No Conflict (Correct)","No Conflict (Incorrect)"),IF(D300=E300,"Guideline-compliant",IF(D300=F300,"Knowledge-override","Neither"))))</f>
        <v>Parse Error</v>
      </c>
    </row>
    <row r="301" spans="1:8" x14ac:dyDescent="0.2">
      <c r="A301" s="2" t="s">
        <v>29</v>
      </c>
      <c r="B301" s="2" t="s">
        <v>31</v>
      </c>
      <c r="C301" s="2">
        <v>1</v>
      </c>
      <c r="D301" s="2" t="s">
        <v>58</v>
      </c>
      <c r="E301" s="2" t="s">
        <v>58</v>
      </c>
      <c r="F301" s="2" t="str">
        <f t="shared" si="8"/>
        <v>Screen_3y</v>
      </c>
      <c r="G301" s="2" t="b">
        <f t="shared" si="7"/>
        <v>1</v>
      </c>
      <c r="H301" t="str">
        <f>IF(D301="PARSE_ERROR","Parse Error",IF(NOT(G301),IF(D301=E301,"No Conflict (Correct)","No Conflict (Incorrect)"),IF(D301=E301,"Guideline-compliant",IF(D301=F301,"Knowledge-override","Neither"))))</f>
        <v>Guideline-compliant</v>
      </c>
    </row>
    <row r="302" spans="1:8" x14ac:dyDescent="0.2">
      <c r="A302" s="2" t="s">
        <v>29</v>
      </c>
      <c r="B302" s="2" t="s">
        <v>31</v>
      </c>
      <c r="C302" s="2">
        <v>2</v>
      </c>
      <c r="D302" s="2" t="s">
        <v>58</v>
      </c>
      <c r="E302" s="2" t="s">
        <v>58</v>
      </c>
      <c r="F302" s="2" t="str">
        <f t="shared" si="8"/>
        <v>Screen_1y</v>
      </c>
      <c r="G302" s="2" t="b">
        <f t="shared" si="7"/>
        <v>1</v>
      </c>
      <c r="H302" t="str">
        <f>IF(D302="PARSE_ERROR","Parse Error",IF(NOT(G302),IF(D302=E302,"No Conflict (Correct)","No Conflict (Incorrect)"),IF(D302=E302,"Guideline-compliant",IF(D302=F302,"Knowledge-override","Neither"))))</f>
        <v>Guideline-compliant</v>
      </c>
    </row>
    <row r="303" spans="1:8" x14ac:dyDescent="0.2">
      <c r="A303" s="2" t="s">
        <v>29</v>
      </c>
      <c r="B303" s="2" t="s">
        <v>31</v>
      </c>
      <c r="C303" s="2">
        <v>11</v>
      </c>
      <c r="D303" s="2" t="s">
        <v>58</v>
      </c>
      <c r="E303" s="2" t="s">
        <v>58</v>
      </c>
      <c r="F303" s="2" t="str">
        <f t="shared" si="8"/>
        <v>Screen_1y</v>
      </c>
      <c r="G303" s="2" t="b">
        <f t="shared" si="7"/>
        <v>1</v>
      </c>
      <c r="H303" t="str">
        <f>IF(D303="PARSE_ERROR","Parse Error",IF(NOT(G303),IF(D303=E303,"No Conflict (Correct)","No Conflict (Incorrect)"),IF(D303=E303,"Guideline-compliant",IF(D303=F303,"Knowledge-override","Neither"))))</f>
        <v>Guideline-compliant</v>
      </c>
    </row>
    <row r="304" spans="1:8" x14ac:dyDescent="0.2">
      <c r="A304" s="2" t="s">
        <v>29</v>
      </c>
      <c r="B304" s="2" t="s">
        <v>31</v>
      </c>
      <c r="C304" s="2">
        <v>12</v>
      </c>
      <c r="D304" s="2" t="s">
        <v>58</v>
      </c>
      <c r="E304" s="2" t="s">
        <v>58</v>
      </c>
      <c r="F304" s="2" t="str">
        <f t="shared" si="8"/>
        <v>Confirm</v>
      </c>
      <c r="G304" s="2" t="b">
        <f t="shared" si="7"/>
        <v>0</v>
      </c>
      <c r="H304" t="str">
        <f>IF(D304="PARSE_ERROR","Parse Error",IF(NOT(G304),IF(D304=E304,"No Conflict (Correct)","No Conflict (Incorrect)"),IF(D304=E304,"Guideline-compliant",IF(D304=F304,"Knowledge-override","Neither"))))</f>
        <v>No Conflict (Correct)</v>
      </c>
    </row>
    <row r="305" spans="1:8" x14ac:dyDescent="0.2">
      <c r="A305" s="2" t="s">
        <v>29</v>
      </c>
      <c r="B305" s="2" t="s">
        <v>31</v>
      </c>
      <c r="C305" s="2">
        <v>13</v>
      </c>
      <c r="D305" s="2" t="s">
        <v>58</v>
      </c>
      <c r="E305" s="2" t="s">
        <v>58</v>
      </c>
      <c r="F305" s="2" t="str">
        <f t="shared" si="8"/>
        <v>Screen_1y</v>
      </c>
      <c r="G305" s="2" t="b">
        <f t="shared" si="7"/>
        <v>1</v>
      </c>
      <c r="H305" t="str">
        <f>IF(D305="PARSE_ERROR","Parse Error",IF(NOT(G305),IF(D305=E305,"No Conflict (Correct)","No Conflict (Incorrect)"),IF(D305=E305,"Guideline-compliant",IF(D305=F305,"Knowledge-override","Neither"))))</f>
        <v>Guideline-compliant</v>
      </c>
    </row>
    <row r="306" spans="1:8" x14ac:dyDescent="0.2">
      <c r="A306" s="2" t="s">
        <v>29</v>
      </c>
      <c r="B306" s="2" t="s">
        <v>31</v>
      </c>
      <c r="C306" s="2">
        <v>14</v>
      </c>
      <c r="D306" s="2" t="s">
        <v>58</v>
      </c>
      <c r="E306" s="2" t="s">
        <v>58</v>
      </c>
      <c r="F306" s="2" t="str">
        <f t="shared" si="8"/>
        <v>Confirm</v>
      </c>
      <c r="G306" s="2" t="b">
        <f t="shared" si="7"/>
        <v>0</v>
      </c>
      <c r="H306" t="str">
        <f>IF(D306="PARSE_ERROR","Parse Error",IF(NOT(G306),IF(D306=E306,"No Conflict (Correct)","No Conflict (Incorrect)"),IF(D306=E306,"Guideline-compliant",IF(D306=F306,"Knowledge-override","Neither"))))</f>
        <v>No Conflict (Correct)</v>
      </c>
    </row>
    <row r="307" spans="1:8" x14ac:dyDescent="0.2">
      <c r="A307" s="2" t="s">
        <v>29</v>
      </c>
      <c r="B307" s="2" t="s">
        <v>31</v>
      </c>
      <c r="C307" s="2">
        <v>26</v>
      </c>
      <c r="D307" s="2" t="s">
        <v>69</v>
      </c>
      <c r="E307" s="2" t="s">
        <v>69</v>
      </c>
      <c r="F307" s="2" t="str">
        <f t="shared" si="8"/>
        <v>Confirm</v>
      </c>
      <c r="G307" s="2" t="b">
        <f t="shared" si="7"/>
        <v>1</v>
      </c>
      <c r="H307" t="str">
        <f>IF(D307="PARSE_ERROR","Parse Error",IF(NOT(G307),IF(D307=E307,"No Conflict (Correct)","No Conflict (Incorrect)"),IF(D307=E307,"Guideline-compliant",IF(D307=F307,"Knowledge-override","Neither"))))</f>
        <v>Guideline-compliant</v>
      </c>
    </row>
    <row r="308" spans="1:8" x14ac:dyDescent="0.2">
      <c r="A308" s="2" t="s">
        <v>29</v>
      </c>
      <c r="B308" s="2" t="s">
        <v>31</v>
      </c>
      <c r="C308" s="2">
        <v>31</v>
      </c>
      <c r="D308" s="2" t="s">
        <v>69</v>
      </c>
      <c r="E308" s="2" t="s">
        <v>69</v>
      </c>
      <c r="F308" s="2" t="str">
        <f t="shared" si="8"/>
        <v>Confirm</v>
      </c>
      <c r="G308" s="2" t="b">
        <f t="shared" si="7"/>
        <v>1</v>
      </c>
      <c r="H308" t="str">
        <f>IF(D308="PARSE_ERROR","Parse Error",IF(NOT(G308),IF(D308=E308,"No Conflict (Correct)","No Conflict (Incorrect)"),IF(D308=E308,"Guideline-compliant",IF(D308=F308,"Knowledge-override","Neither"))))</f>
        <v>Guideline-compliant</v>
      </c>
    </row>
    <row r="309" spans="1:8" x14ac:dyDescent="0.2">
      <c r="A309" s="2" t="s">
        <v>29</v>
      </c>
      <c r="B309" s="2" t="s">
        <v>31</v>
      </c>
      <c r="C309" s="2">
        <v>33</v>
      </c>
      <c r="D309" s="2" t="s">
        <v>69</v>
      </c>
      <c r="E309" s="2" t="s">
        <v>69</v>
      </c>
      <c r="F309" s="2" t="str">
        <f t="shared" si="8"/>
        <v>Confirm</v>
      </c>
      <c r="G309" s="2" t="b">
        <f t="shared" si="7"/>
        <v>1</v>
      </c>
      <c r="H309" t="str">
        <f>IF(D309="PARSE_ERROR","Parse Error",IF(NOT(G309),IF(D309=E309,"No Conflict (Correct)","No Conflict (Incorrect)"),IF(D309=E309,"Guideline-compliant",IF(D309=F309,"Knowledge-override","Neither"))))</f>
        <v>Guideline-compliant</v>
      </c>
    </row>
    <row r="310" spans="1:8" x14ac:dyDescent="0.2">
      <c r="A310" s="2" t="s">
        <v>29</v>
      </c>
      <c r="B310" s="2" t="s">
        <v>31</v>
      </c>
      <c r="C310" s="2">
        <v>41</v>
      </c>
      <c r="D310" s="2" t="s">
        <v>69</v>
      </c>
      <c r="E310" s="2" t="s">
        <v>69</v>
      </c>
      <c r="F310" s="2" t="str">
        <f t="shared" si="8"/>
        <v>ConfirmPromptly</v>
      </c>
      <c r="G310" s="2" t="b">
        <f t="shared" si="7"/>
        <v>1</v>
      </c>
      <c r="H310" t="str">
        <f>IF(D310="PARSE_ERROR","Parse Error",IF(NOT(G310),IF(D310=E310,"No Conflict (Correct)","No Conflict (Incorrect)"),IF(D310=E310,"Guideline-compliant",IF(D310=F310,"Knowledge-override","Neither"))))</f>
        <v>Guideline-compliant</v>
      </c>
    </row>
    <row r="311" spans="1:8" x14ac:dyDescent="0.2">
      <c r="A311" s="2" t="s">
        <v>29</v>
      </c>
      <c r="B311" s="2" t="s">
        <v>31</v>
      </c>
      <c r="C311" s="2">
        <v>44</v>
      </c>
      <c r="D311" s="2" t="s">
        <v>69</v>
      </c>
      <c r="E311" s="2" t="s">
        <v>69</v>
      </c>
      <c r="F311" s="2" t="str">
        <f t="shared" si="8"/>
        <v>ConfirmPromptly</v>
      </c>
      <c r="G311" s="2" t="b">
        <f t="shared" si="7"/>
        <v>1</v>
      </c>
      <c r="H311" t="str">
        <f>IF(D311="PARSE_ERROR","Parse Error",IF(NOT(G311),IF(D311=E311,"No Conflict (Correct)","No Conflict (Incorrect)"),IF(D311=E311,"Guideline-compliant",IF(D311=F311,"Knowledge-override","Neither"))))</f>
        <v>Guideline-compliant</v>
      </c>
    </row>
    <row r="312" spans="1:8" x14ac:dyDescent="0.2">
      <c r="A312" s="2" t="s">
        <v>29</v>
      </c>
      <c r="B312" s="2" t="s">
        <v>31</v>
      </c>
      <c r="C312" s="2">
        <v>45</v>
      </c>
      <c r="D312" s="2" t="s">
        <v>69</v>
      </c>
      <c r="E312" s="2" t="s">
        <v>69</v>
      </c>
      <c r="F312" s="2" t="str">
        <f t="shared" si="8"/>
        <v>ConfirmPromptly</v>
      </c>
      <c r="G312" s="2" t="b">
        <f t="shared" si="7"/>
        <v>1</v>
      </c>
      <c r="H312" t="str">
        <f>IF(D312="PARSE_ERROR","Parse Error",IF(NOT(G312),IF(D312=E312,"No Conflict (Correct)","No Conflict (Incorrect)"),IF(D312=E312,"Guideline-compliant",IF(D312=F312,"Knowledge-override","Neither"))))</f>
        <v>Guideline-compliant</v>
      </c>
    </row>
    <row r="313" spans="1:8" x14ac:dyDescent="0.2">
      <c r="A313" s="2" t="s">
        <v>29</v>
      </c>
      <c r="B313" s="2" t="s">
        <v>31</v>
      </c>
      <c r="C313" s="2">
        <v>51</v>
      </c>
      <c r="D313" s="2" t="s">
        <v>69</v>
      </c>
      <c r="E313" s="2" t="s">
        <v>69</v>
      </c>
      <c r="F313" s="2" t="str">
        <f t="shared" si="8"/>
        <v>EvaluateEmergency</v>
      </c>
      <c r="G313" s="2" t="b">
        <f t="shared" si="7"/>
        <v>0</v>
      </c>
      <c r="H313" t="str">
        <f>IF(D313="PARSE_ERROR","Parse Error",IF(NOT(G313),IF(D313=E313,"No Conflict (Correct)","No Conflict (Incorrect)"),IF(D313=E313,"Guideline-compliant",IF(D313=F313,"Knowledge-override","Neither"))))</f>
        <v>No Conflict (Correct)</v>
      </c>
    </row>
    <row r="314" spans="1:8" x14ac:dyDescent="0.2">
      <c r="A314" s="2" t="s">
        <v>29</v>
      </c>
      <c r="B314" s="2" t="s">
        <v>31</v>
      </c>
      <c r="C314" s="2">
        <v>59</v>
      </c>
      <c r="D314" s="2" t="s">
        <v>69</v>
      </c>
      <c r="E314" s="2" t="s">
        <v>69</v>
      </c>
      <c r="F314" s="2" t="str">
        <f t="shared" si="8"/>
        <v>EvaluateEmergency</v>
      </c>
      <c r="G314" s="2" t="b">
        <f t="shared" si="7"/>
        <v>0</v>
      </c>
      <c r="H314" t="str">
        <f>IF(D314="PARSE_ERROR","Parse Error",IF(NOT(G314),IF(D314=E314,"No Conflict (Correct)","No Conflict (Incorrect)"),IF(D314=E314,"Guideline-compliant",IF(D314=F314,"Knowledge-override","Neither"))))</f>
        <v>No Conflict (Correct)</v>
      </c>
    </row>
    <row r="315" spans="1:8" x14ac:dyDescent="0.2">
      <c r="A315" s="2" t="s">
        <v>29</v>
      </c>
      <c r="B315" s="2" t="s">
        <v>31</v>
      </c>
      <c r="C315" s="2">
        <v>56</v>
      </c>
      <c r="D315" s="2" t="s">
        <v>69</v>
      </c>
      <c r="E315" s="2" t="s">
        <v>69</v>
      </c>
      <c r="F315" s="2" t="str">
        <f t="shared" si="8"/>
        <v>EvaluateEmergency</v>
      </c>
      <c r="G315" s="2" t="b">
        <f t="shared" si="7"/>
        <v>0</v>
      </c>
      <c r="H315" t="str">
        <f>IF(D315="PARSE_ERROR","Parse Error",IF(NOT(G315),IF(D315=E315,"No Conflict (Correct)","No Conflict (Incorrect)"),IF(D315=E315,"Guideline-compliant",IF(D315=F315,"Knowledge-override","Neither"))))</f>
        <v>No Conflict (Correct)</v>
      </c>
    </row>
    <row r="316" spans="1:8" x14ac:dyDescent="0.2">
      <c r="A316" s="2" t="s">
        <v>30</v>
      </c>
      <c r="B316" s="2" t="s">
        <v>31</v>
      </c>
      <c r="C316" s="2">
        <v>1</v>
      </c>
      <c r="D316" s="2" t="s">
        <v>28</v>
      </c>
      <c r="E316" s="2" t="s">
        <v>58</v>
      </c>
      <c r="F316" s="2" t="str">
        <f t="shared" si="8"/>
        <v>Screen_3y</v>
      </c>
      <c r="G316" s="2" t="b">
        <f t="shared" si="7"/>
        <v>1</v>
      </c>
      <c r="H316" t="str">
        <f>IF(D316="PARSE_ERROR","Parse Error",IF(NOT(G316),IF(D316=E316,"No Conflict (Correct)","No Conflict (Incorrect)"),IF(D316=E316,"Guideline-compliant",IF(D316=F316,"Knowledge-override","Neither"))))</f>
        <v>Parse Error</v>
      </c>
    </row>
    <row r="317" spans="1:8" x14ac:dyDescent="0.2">
      <c r="A317" s="2" t="s">
        <v>30</v>
      </c>
      <c r="B317" s="2" t="s">
        <v>31</v>
      </c>
      <c r="C317" s="2">
        <v>2</v>
      </c>
      <c r="D317" s="2" t="s">
        <v>28</v>
      </c>
      <c r="E317" s="2" t="s">
        <v>58</v>
      </c>
      <c r="F317" s="2" t="str">
        <f t="shared" si="8"/>
        <v>Screen_1y</v>
      </c>
      <c r="G317" s="2" t="b">
        <f t="shared" si="7"/>
        <v>1</v>
      </c>
      <c r="H317" t="str">
        <f>IF(D317="PARSE_ERROR","Parse Error",IF(NOT(G317),IF(D317=E317,"No Conflict (Correct)","No Conflict (Incorrect)"),IF(D317=E317,"Guideline-compliant",IF(D317=F317,"Knowledge-override","Neither"))))</f>
        <v>Parse Error</v>
      </c>
    </row>
    <row r="318" spans="1:8" x14ac:dyDescent="0.2">
      <c r="A318" s="2" t="s">
        <v>30</v>
      </c>
      <c r="B318" s="2" t="s">
        <v>31</v>
      </c>
      <c r="C318" s="2">
        <v>11</v>
      </c>
      <c r="D318" s="2" t="s">
        <v>28</v>
      </c>
      <c r="E318" s="2" t="s">
        <v>58</v>
      </c>
      <c r="F318" s="2" t="str">
        <f t="shared" si="8"/>
        <v>Screen_1y</v>
      </c>
      <c r="G318" s="2" t="b">
        <f t="shared" si="7"/>
        <v>1</v>
      </c>
      <c r="H318" t="str">
        <f>IF(D318="PARSE_ERROR","Parse Error",IF(NOT(G318),IF(D318=E318,"No Conflict (Correct)","No Conflict (Incorrect)"),IF(D318=E318,"Guideline-compliant",IF(D318=F318,"Knowledge-override","Neither"))))</f>
        <v>Parse Error</v>
      </c>
    </row>
    <row r="319" spans="1:8" x14ac:dyDescent="0.2">
      <c r="A319" s="2" t="s">
        <v>30</v>
      </c>
      <c r="B319" s="2" t="s">
        <v>31</v>
      </c>
      <c r="C319" s="2">
        <v>12</v>
      </c>
      <c r="D319" s="2" t="s">
        <v>28</v>
      </c>
      <c r="E319" s="2" t="s">
        <v>58</v>
      </c>
      <c r="F319" s="2" t="str">
        <f t="shared" si="8"/>
        <v>Confirm</v>
      </c>
      <c r="G319" s="2" t="b">
        <f t="shared" si="7"/>
        <v>0</v>
      </c>
      <c r="H319" t="str">
        <f>IF(D319="PARSE_ERROR","Parse Error",IF(NOT(G319),IF(D319=E319,"No Conflict (Correct)","No Conflict (Incorrect)"),IF(D319=E319,"Guideline-compliant",IF(D319=F319,"Knowledge-override","Neither"))))</f>
        <v>Parse Error</v>
      </c>
    </row>
    <row r="320" spans="1:8" x14ac:dyDescent="0.2">
      <c r="A320" s="2" t="s">
        <v>30</v>
      </c>
      <c r="B320" s="2" t="s">
        <v>31</v>
      </c>
      <c r="C320" s="2">
        <v>13</v>
      </c>
      <c r="D320" s="2" t="s">
        <v>28</v>
      </c>
      <c r="E320" s="2" t="s">
        <v>58</v>
      </c>
      <c r="F320" s="2" t="str">
        <f t="shared" si="8"/>
        <v>Screen_1y</v>
      </c>
      <c r="G320" s="2" t="b">
        <f t="shared" si="7"/>
        <v>1</v>
      </c>
      <c r="H320" t="str">
        <f>IF(D320="PARSE_ERROR","Parse Error",IF(NOT(G320),IF(D320=E320,"No Conflict (Correct)","No Conflict (Incorrect)"),IF(D320=E320,"Guideline-compliant",IF(D320=F320,"Knowledge-override","Neither"))))</f>
        <v>Parse Error</v>
      </c>
    </row>
    <row r="321" spans="1:8" x14ac:dyDescent="0.2">
      <c r="A321" s="2" t="s">
        <v>30</v>
      </c>
      <c r="B321" s="2" t="s">
        <v>31</v>
      </c>
      <c r="C321" s="2">
        <v>14</v>
      </c>
      <c r="D321" s="2" t="s">
        <v>28</v>
      </c>
      <c r="E321" s="2" t="s">
        <v>58</v>
      </c>
      <c r="F321" s="2" t="str">
        <f t="shared" si="8"/>
        <v>Confirm</v>
      </c>
      <c r="G321" s="2" t="b">
        <f t="shared" si="7"/>
        <v>0</v>
      </c>
      <c r="H321" t="str">
        <f>IF(D321="PARSE_ERROR","Parse Error",IF(NOT(G321),IF(D321=E321,"No Conflict (Correct)","No Conflict (Incorrect)"),IF(D321=E321,"Guideline-compliant",IF(D321=F321,"Knowledge-override","Neither"))))</f>
        <v>Parse Error</v>
      </c>
    </row>
    <row r="322" spans="1:8" x14ac:dyDescent="0.2">
      <c r="A322" s="2" t="s">
        <v>30</v>
      </c>
      <c r="B322" s="2" t="s">
        <v>31</v>
      </c>
      <c r="C322" s="2">
        <v>26</v>
      </c>
      <c r="D322" s="2" t="s">
        <v>28</v>
      </c>
      <c r="E322" s="2" t="s">
        <v>69</v>
      </c>
      <c r="F322" s="2" t="str">
        <f t="shared" si="8"/>
        <v>Confirm</v>
      </c>
      <c r="G322" s="2" t="b">
        <f t="shared" si="7"/>
        <v>1</v>
      </c>
      <c r="H322" t="str">
        <f>IF(D322="PARSE_ERROR","Parse Error",IF(NOT(G322),IF(D322=E322,"No Conflict (Correct)","No Conflict (Incorrect)"),IF(D322=E322,"Guideline-compliant",IF(D322=F322,"Knowledge-override","Neither"))))</f>
        <v>Parse Error</v>
      </c>
    </row>
    <row r="323" spans="1:8" x14ac:dyDescent="0.2">
      <c r="A323" s="2" t="s">
        <v>30</v>
      </c>
      <c r="B323" s="2" t="s">
        <v>31</v>
      </c>
      <c r="C323" s="2">
        <v>31</v>
      </c>
      <c r="D323" s="2" t="s">
        <v>28</v>
      </c>
      <c r="E323" s="2" t="s">
        <v>69</v>
      </c>
      <c r="F323" s="2" t="str">
        <f t="shared" si="8"/>
        <v>Confirm</v>
      </c>
      <c r="G323" s="2" t="b">
        <f t="shared" si="7"/>
        <v>1</v>
      </c>
      <c r="H323" t="str">
        <f>IF(D323="PARSE_ERROR","Parse Error",IF(NOT(G323),IF(D323=E323,"No Conflict (Correct)","No Conflict (Incorrect)"),IF(D323=E323,"Guideline-compliant",IF(D323=F323,"Knowledge-override","Neither"))))</f>
        <v>Parse Error</v>
      </c>
    </row>
    <row r="324" spans="1:8" x14ac:dyDescent="0.2">
      <c r="A324" s="2" t="s">
        <v>30</v>
      </c>
      <c r="B324" s="2" t="s">
        <v>31</v>
      </c>
      <c r="C324" s="2">
        <v>33</v>
      </c>
      <c r="D324" s="2" t="s">
        <v>28</v>
      </c>
      <c r="E324" s="2" t="s">
        <v>69</v>
      </c>
      <c r="F324" s="2" t="str">
        <f t="shared" si="8"/>
        <v>Confirm</v>
      </c>
      <c r="G324" s="2" t="b">
        <f t="shared" si="7"/>
        <v>1</v>
      </c>
      <c r="H324" t="str">
        <f>IF(D324="PARSE_ERROR","Parse Error",IF(NOT(G324),IF(D324=E324,"No Conflict (Correct)","No Conflict (Incorrect)"),IF(D324=E324,"Guideline-compliant",IF(D324=F324,"Knowledge-override","Neither"))))</f>
        <v>Parse Error</v>
      </c>
    </row>
    <row r="325" spans="1:8" x14ac:dyDescent="0.2">
      <c r="A325" s="2" t="s">
        <v>30</v>
      </c>
      <c r="B325" s="2" t="s">
        <v>31</v>
      </c>
      <c r="C325" s="2">
        <v>41</v>
      </c>
      <c r="D325" s="2" t="s">
        <v>28</v>
      </c>
      <c r="E325" s="2" t="s">
        <v>69</v>
      </c>
      <c r="F325" s="2" t="str">
        <f t="shared" si="8"/>
        <v>ConfirmPromptly</v>
      </c>
      <c r="G325" s="2" t="b">
        <f t="shared" si="7"/>
        <v>1</v>
      </c>
      <c r="H325" t="str">
        <f>IF(D325="PARSE_ERROR","Parse Error",IF(NOT(G325),IF(D325=E325,"No Conflict (Correct)","No Conflict (Incorrect)"),IF(D325=E325,"Guideline-compliant",IF(D325=F325,"Knowledge-override","Neither"))))</f>
        <v>Parse Error</v>
      </c>
    </row>
    <row r="326" spans="1:8" x14ac:dyDescent="0.2">
      <c r="A326" s="2" t="s">
        <v>30</v>
      </c>
      <c r="B326" s="2" t="s">
        <v>31</v>
      </c>
      <c r="C326" s="2">
        <v>44</v>
      </c>
      <c r="D326" s="2" t="s">
        <v>28</v>
      </c>
      <c r="E326" s="2" t="s">
        <v>69</v>
      </c>
      <c r="F326" s="2" t="str">
        <f t="shared" si="8"/>
        <v>ConfirmPromptly</v>
      </c>
      <c r="G326" s="2" t="b">
        <f t="shared" si="7"/>
        <v>1</v>
      </c>
      <c r="H326" t="str">
        <f>IF(D326="PARSE_ERROR","Parse Error",IF(NOT(G326),IF(D326=E326,"No Conflict (Correct)","No Conflict (Incorrect)"),IF(D326=E326,"Guideline-compliant",IF(D326=F326,"Knowledge-override","Neither"))))</f>
        <v>Parse Error</v>
      </c>
    </row>
    <row r="327" spans="1:8" x14ac:dyDescent="0.2">
      <c r="A327" s="2" t="s">
        <v>30</v>
      </c>
      <c r="B327" s="2" t="s">
        <v>31</v>
      </c>
      <c r="C327" s="2">
        <v>45</v>
      </c>
      <c r="D327" s="2" t="s">
        <v>28</v>
      </c>
      <c r="E327" s="2" t="s">
        <v>69</v>
      </c>
      <c r="F327" s="2" t="str">
        <f t="shared" si="8"/>
        <v>ConfirmPromptly</v>
      </c>
      <c r="G327" s="2" t="b">
        <f t="shared" si="7"/>
        <v>1</v>
      </c>
      <c r="H327" t="str">
        <f>IF(D327="PARSE_ERROR","Parse Error",IF(NOT(G327),IF(D327=E327,"No Conflict (Correct)","No Conflict (Incorrect)"),IF(D327=E327,"Guideline-compliant",IF(D327=F327,"Knowledge-override","Neither"))))</f>
        <v>Parse Error</v>
      </c>
    </row>
    <row r="328" spans="1:8" x14ac:dyDescent="0.2">
      <c r="A328" s="2" t="s">
        <v>30</v>
      </c>
      <c r="B328" s="2" t="s">
        <v>31</v>
      </c>
      <c r="C328" s="2">
        <v>51</v>
      </c>
      <c r="D328" s="2" t="s">
        <v>28</v>
      </c>
      <c r="E328" s="2" t="s">
        <v>69</v>
      </c>
      <c r="F328" s="2" t="str">
        <f t="shared" si="8"/>
        <v>EvaluateEmergency</v>
      </c>
      <c r="G328" s="2" t="b">
        <f t="shared" si="7"/>
        <v>0</v>
      </c>
      <c r="H328" t="str">
        <f>IF(D328="PARSE_ERROR","Parse Error",IF(NOT(G328),IF(D328=E328,"No Conflict (Correct)","No Conflict (Incorrect)"),IF(D328=E328,"Guideline-compliant",IF(D328=F328,"Knowledge-override","Neither"))))</f>
        <v>Parse Error</v>
      </c>
    </row>
    <row r="329" spans="1:8" x14ac:dyDescent="0.2">
      <c r="A329" s="2" t="s">
        <v>30</v>
      </c>
      <c r="B329" s="2" t="s">
        <v>31</v>
      </c>
      <c r="C329" s="2">
        <v>59</v>
      </c>
      <c r="D329" s="2" t="s">
        <v>28</v>
      </c>
      <c r="E329" s="2" t="s">
        <v>69</v>
      </c>
      <c r="F329" s="2" t="str">
        <f t="shared" si="8"/>
        <v>EvaluateEmergency</v>
      </c>
      <c r="G329" s="2" t="b">
        <f t="shared" si="7"/>
        <v>0</v>
      </c>
      <c r="H329" t="str">
        <f>IF(D329="PARSE_ERROR","Parse Error",IF(NOT(G329),IF(D329=E329,"No Conflict (Correct)","No Conflict (Incorrect)"),IF(D329=E329,"Guideline-compliant",IF(D329=F329,"Knowledge-override","Neither"))))</f>
        <v>Parse Error</v>
      </c>
    </row>
    <row r="330" spans="1:8" x14ac:dyDescent="0.2">
      <c r="A330" s="2" t="s">
        <v>30</v>
      </c>
      <c r="B330" s="2" t="s">
        <v>31</v>
      </c>
      <c r="C330" s="2">
        <v>56</v>
      </c>
      <c r="D330" s="2" t="s">
        <v>28</v>
      </c>
      <c r="E330" s="2" t="s">
        <v>69</v>
      </c>
      <c r="F330" s="2" t="str">
        <f t="shared" si="8"/>
        <v>EvaluateEmergency</v>
      </c>
      <c r="G330" s="2" t="b">
        <f t="shared" si="7"/>
        <v>0</v>
      </c>
      <c r="H330" t="str">
        <f>IF(D330="PARSE_ERROR","Parse Error",IF(NOT(G330),IF(D330=E330,"No Conflict (Correct)","No Conflict (Incorrect)"),IF(D330=E330,"Guideline-compliant",IF(D330=F330,"Knowledge-override","Neither"))))</f>
        <v>Parse Error</v>
      </c>
    </row>
    <row r="331" spans="1:8" x14ac:dyDescent="0.2">
      <c r="A331" s="2" t="s">
        <v>8</v>
      </c>
      <c r="B331" s="2" t="s">
        <v>32</v>
      </c>
      <c r="C331" s="2">
        <v>1</v>
      </c>
      <c r="D331" s="2" t="s">
        <v>69</v>
      </c>
      <c r="E331" s="2" t="s">
        <v>69</v>
      </c>
      <c r="F331" s="2" t="str">
        <f t="shared" si="8"/>
        <v>Screen_3y</v>
      </c>
      <c r="G331" s="2" t="b">
        <f t="shared" si="7"/>
        <v>1</v>
      </c>
      <c r="H331" t="str">
        <f>IF(D331="PARSE_ERROR","Parse Error",IF(NOT(G331),IF(D331=E331,"No Conflict (Correct)","No Conflict (Incorrect)"),IF(D331=E331,"Guideline-compliant",IF(D331=F331,"Knowledge-override","Neither"))))</f>
        <v>Guideline-compliant</v>
      </c>
    </row>
    <row r="332" spans="1:8" x14ac:dyDescent="0.2">
      <c r="A332" s="2" t="s">
        <v>8</v>
      </c>
      <c r="B332" s="2" t="s">
        <v>32</v>
      </c>
      <c r="C332" s="2">
        <v>2</v>
      </c>
      <c r="D332" s="2" t="s">
        <v>69</v>
      </c>
      <c r="E332" s="2" t="s">
        <v>69</v>
      </c>
      <c r="F332" s="2" t="str">
        <f t="shared" si="8"/>
        <v>Screen_1y</v>
      </c>
      <c r="G332" s="2" t="b">
        <f t="shared" si="7"/>
        <v>1</v>
      </c>
      <c r="H332" t="str">
        <f>IF(D332="PARSE_ERROR","Parse Error",IF(NOT(G332),IF(D332=E332,"No Conflict (Correct)","No Conflict (Incorrect)"),IF(D332=E332,"Guideline-compliant",IF(D332=F332,"Knowledge-override","Neither"))))</f>
        <v>Guideline-compliant</v>
      </c>
    </row>
    <row r="333" spans="1:8" x14ac:dyDescent="0.2">
      <c r="A333" s="2" t="s">
        <v>8</v>
      </c>
      <c r="B333" s="2" t="s">
        <v>32</v>
      </c>
      <c r="C333" s="2">
        <v>11</v>
      </c>
      <c r="D333" s="2" t="s">
        <v>69</v>
      </c>
      <c r="E333" s="2" t="s">
        <v>69</v>
      </c>
      <c r="F333" s="2" t="str">
        <f t="shared" si="8"/>
        <v>Screen_1y</v>
      </c>
      <c r="G333" s="2" t="b">
        <f t="shared" si="7"/>
        <v>1</v>
      </c>
      <c r="H333" t="str">
        <f>IF(D333="PARSE_ERROR","Parse Error",IF(NOT(G333),IF(D333=E333,"No Conflict (Correct)","No Conflict (Incorrect)"),IF(D333=E333,"Guideline-compliant",IF(D333=F333,"Knowledge-override","Neither"))))</f>
        <v>Guideline-compliant</v>
      </c>
    </row>
    <row r="334" spans="1:8" x14ac:dyDescent="0.2">
      <c r="A334" s="2" t="s">
        <v>8</v>
      </c>
      <c r="B334" s="2" t="s">
        <v>32</v>
      </c>
      <c r="C334" s="2">
        <v>12</v>
      </c>
      <c r="D334" s="2" t="s">
        <v>49</v>
      </c>
      <c r="E334" s="2" t="s">
        <v>49</v>
      </c>
      <c r="F334" s="2" t="str">
        <f t="shared" si="8"/>
        <v>Confirm</v>
      </c>
      <c r="G334" s="2" t="b">
        <f t="shared" si="7"/>
        <v>1</v>
      </c>
      <c r="H334" t="str">
        <f>IF(D334="PARSE_ERROR","Parse Error",IF(NOT(G334),IF(D334=E334,"No Conflict (Correct)","No Conflict (Incorrect)"),IF(D334=E334,"Guideline-compliant",IF(D334=F334,"Knowledge-override","Neither"))))</f>
        <v>Guideline-compliant</v>
      </c>
    </row>
    <row r="335" spans="1:8" x14ac:dyDescent="0.2">
      <c r="A335" s="2" t="s">
        <v>8</v>
      </c>
      <c r="B335" s="2" t="s">
        <v>32</v>
      </c>
      <c r="C335" s="2">
        <v>13</v>
      </c>
      <c r="D335" s="2" t="s">
        <v>69</v>
      </c>
      <c r="E335" s="2" t="s">
        <v>69</v>
      </c>
      <c r="F335" s="2" t="str">
        <f t="shared" si="8"/>
        <v>Screen_1y</v>
      </c>
      <c r="G335" s="2" t="b">
        <f t="shared" si="7"/>
        <v>1</v>
      </c>
      <c r="H335" t="str">
        <f>IF(D335="PARSE_ERROR","Parse Error",IF(NOT(G335),IF(D335=E335,"No Conflict (Correct)","No Conflict (Incorrect)"),IF(D335=E335,"Guideline-compliant",IF(D335=F335,"Knowledge-override","Neither"))))</f>
        <v>Guideline-compliant</v>
      </c>
    </row>
    <row r="336" spans="1:8" x14ac:dyDescent="0.2">
      <c r="A336" s="2" t="s">
        <v>8</v>
      </c>
      <c r="B336" s="2" t="s">
        <v>32</v>
      </c>
      <c r="C336" s="2">
        <v>14</v>
      </c>
      <c r="D336" s="2" t="s">
        <v>49</v>
      </c>
      <c r="E336" s="2" t="s">
        <v>49</v>
      </c>
      <c r="F336" s="2" t="str">
        <f t="shared" si="8"/>
        <v>Confirm</v>
      </c>
      <c r="G336" s="2" t="b">
        <f t="shared" si="7"/>
        <v>1</v>
      </c>
      <c r="H336" t="str">
        <f>IF(D336="PARSE_ERROR","Parse Error",IF(NOT(G336),IF(D336=E336,"No Conflict (Correct)","No Conflict (Incorrect)"),IF(D336=E336,"Guideline-compliant",IF(D336=F336,"Knowledge-override","Neither"))))</f>
        <v>Guideline-compliant</v>
      </c>
    </row>
    <row r="337" spans="1:8" x14ac:dyDescent="0.2">
      <c r="A337" s="2" t="s">
        <v>8</v>
      </c>
      <c r="B337" s="2" t="s">
        <v>32</v>
      </c>
      <c r="C337" s="2">
        <v>26</v>
      </c>
      <c r="D337" s="2" t="s">
        <v>49</v>
      </c>
      <c r="E337" s="2" t="s">
        <v>49</v>
      </c>
      <c r="F337" s="2" t="str">
        <f t="shared" si="8"/>
        <v>Confirm</v>
      </c>
      <c r="G337" s="2" t="b">
        <f t="shared" si="7"/>
        <v>1</v>
      </c>
      <c r="H337" t="str">
        <f>IF(D337="PARSE_ERROR","Parse Error",IF(NOT(G337),IF(D337=E337,"No Conflict (Correct)","No Conflict (Incorrect)"),IF(D337=E337,"Guideline-compliant",IF(D337=F337,"Knowledge-override","Neither"))))</f>
        <v>Guideline-compliant</v>
      </c>
    </row>
    <row r="338" spans="1:8" x14ac:dyDescent="0.2">
      <c r="A338" s="2" t="s">
        <v>8</v>
      </c>
      <c r="B338" s="2" t="s">
        <v>32</v>
      </c>
      <c r="C338" s="2">
        <v>31</v>
      </c>
      <c r="D338" s="2" t="s">
        <v>49</v>
      </c>
      <c r="E338" s="2" t="s">
        <v>49</v>
      </c>
      <c r="F338" s="2" t="str">
        <f t="shared" si="8"/>
        <v>Confirm</v>
      </c>
      <c r="G338" s="2" t="b">
        <f t="shared" si="7"/>
        <v>1</v>
      </c>
      <c r="H338" t="str">
        <f>IF(D338="PARSE_ERROR","Parse Error",IF(NOT(G338),IF(D338=E338,"No Conflict (Correct)","No Conflict (Incorrect)"),IF(D338=E338,"Guideline-compliant",IF(D338=F338,"Knowledge-override","Neither"))))</f>
        <v>Guideline-compliant</v>
      </c>
    </row>
    <row r="339" spans="1:8" x14ac:dyDescent="0.2">
      <c r="A339" s="2" t="s">
        <v>8</v>
      </c>
      <c r="B339" s="2" t="s">
        <v>32</v>
      </c>
      <c r="C339" s="2">
        <v>33</v>
      </c>
      <c r="D339" s="2" t="s">
        <v>49</v>
      </c>
      <c r="E339" s="2" t="s">
        <v>49</v>
      </c>
      <c r="F339" s="2" t="str">
        <f t="shared" si="8"/>
        <v>Confirm</v>
      </c>
      <c r="G339" s="2" t="b">
        <f t="shared" ref="G339:G390" si="9">IF(F339="N/A",FALSE(),E339&lt;&gt;F339)</f>
        <v>1</v>
      </c>
      <c r="H339" t="str">
        <f>IF(D339="PARSE_ERROR","Parse Error",IF(NOT(G339),IF(D339=E339,"No Conflict (Correct)","No Conflict (Incorrect)"),IF(D339=E339,"Guideline-compliant",IF(D339=F339,"Knowledge-override","Neither"))))</f>
        <v>Guideline-compliant</v>
      </c>
    </row>
    <row r="340" spans="1:8" x14ac:dyDescent="0.2">
      <c r="A340" s="2" t="s">
        <v>8</v>
      </c>
      <c r="B340" s="2" t="s">
        <v>32</v>
      </c>
      <c r="C340" s="2">
        <v>41</v>
      </c>
      <c r="D340" s="2" t="s">
        <v>49</v>
      </c>
      <c r="E340" s="2" t="s">
        <v>49</v>
      </c>
      <c r="F340" s="2" t="str">
        <f t="shared" si="8"/>
        <v>ConfirmPromptly</v>
      </c>
      <c r="G340" s="2" t="b">
        <f t="shared" si="9"/>
        <v>1</v>
      </c>
      <c r="H340" t="str">
        <f>IF(D340="PARSE_ERROR","Parse Error",IF(NOT(G340),IF(D340=E340,"No Conflict (Correct)","No Conflict (Incorrect)"),IF(D340=E340,"Guideline-compliant",IF(D340=F340,"Knowledge-override","Neither"))))</f>
        <v>Guideline-compliant</v>
      </c>
    </row>
    <row r="341" spans="1:8" x14ac:dyDescent="0.2">
      <c r="A341" s="2" t="s">
        <v>8</v>
      </c>
      <c r="B341" s="2" t="s">
        <v>32</v>
      </c>
      <c r="C341" s="2">
        <v>44</v>
      </c>
      <c r="D341" s="2" t="s">
        <v>49</v>
      </c>
      <c r="E341" s="2" t="s">
        <v>49</v>
      </c>
      <c r="F341" s="2" t="str">
        <f t="shared" ref="F341:F390" si="10">IFERROR(INDEX($K$211:$K$225,MATCH(C341,$J$211:$J$225,0)),"N/A")</f>
        <v>ConfirmPromptly</v>
      </c>
      <c r="G341" s="2" t="b">
        <f t="shared" si="9"/>
        <v>1</v>
      </c>
      <c r="H341" t="str">
        <f>IF(D341="PARSE_ERROR","Parse Error",IF(NOT(G341),IF(D341=E341,"No Conflict (Correct)","No Conflict (Incorrect)"),IF(D341=E341,"Guideline-compliant",IF(D341=F341,"Knowledge-override","Neither"))))</f>
        <v>Guideline-compliant</v>
      </c>
    </row>
    <row r="342" spans="1:8" x14ac:dyDescent="0.2">
      <c r="A342" s="2" t="s">
        <v>8</v>
      </c>
      <c r="B342" s="2" t="s">
        <v>32</v>
      </c>
      <c r="C342" s="2">
        <v>45</v>
      </c>
      <c r="D342" s="2" t="s">
        <v>49</v>
      </c>
      <c r="E342" s="2" t="s">
        <v>49</v>
      </c>
      <c r="F342" s="2" t="str">
        <f t="shared" si="10"/>
        <v>ConfirmPromptly</v>
      </c>
      <c r="G342" s="2" t="b">
        <f t="shared" si="9"/>
        <v>1</v>
      </c>
      <c r="H342" t="str">
        <f>IF(D342="PARSE_ERROR","Parse Error",IF(NOT(G342),IF(D342=E342,"No Conflict (Correct)","No Conflict (Incorrect)"),IF(D342=E342,"Guideline-compliant",IF(D342=F342,"Knowledge-override","Neither"))))</f>
        <v>Guideline-compliant</v>
      </c>
    </row>
    <row r="343" spans="1:8" x14ac:dyDescent="0.2">
      <c r="A343" s="2" t="s">
        <v>8</v>
      </c>
      <c r="B343" s="2" t="s">
        <v>32</v>
      </c>
      <c r="C343" s="2">
        <v>51</v>
      </c>
      <c r="D343" s="2" t="s">
        <v>49</v>
      </c>
      <c r="E343" s="2" t="s">
        <v>49</v>
      </c>
      <c r="F343" s="2" t="str">
        <f t="shared" si="10"/>
        <v>EvaluateEmergency</v>
      </c>
      <c r="G343" s="2" t="b">
        <f t="shared" si="9"/>
        <v>1</v>
      </c>
      <c r="H343" t="str">
        <f>IF(D343="PARSE_ERROR","Parse Error",IF(NOT(G343),IF(D343=E343,"No Conflict (Correct)","No Conflict (Incorrect)"),IF(D343=E343,"Guideline-compliant",IF(D343=F343,"Knowledge-override","Neither"))))</f>
        <v>Guideline-compliant</v>
      </c>
    </row>
    <row r="344" spans="1:8" x14ac:dyDescent="0.2">
      <c r="A344" s="2" t="s">
        <v>8</v>
      </c>
      <c r="B344" s="2" t="s">
        <v>32</v>
      </c>
      <c r="C344" s="2">
        <v>59</v>
      </c>
      <c r="D344" s="2" t="s">
        <v>49</v>
      </c>
      <c r="E344" s="2" t="s">
        <v>49</v>
      </c>
      <c r="F344" s="2" t="str">
        <f t="shared" si="10"/>
        <v>EvaluateEmergency</v>
      </c>
      <c r="G344" s="2" t="b">
        <f t="shared" si="9"/>
        <v>1</v>
      </c>
      <c r="H344" t="str">
        <f>IF(D344="PARSE_ERROR","Parse Error",IF(NOT(G344),IF(D344=E344,"No Conflict (Correct)","No Conflict (Incorrect)"),IF(D344=E344,"Guideline-compliant",IF(D344=F344,"Knowledge-override","Neither"))))</f>
        <v>Guideline-compliant</v>
      </c>
    </row>
    <row r="345" spans="1:8" x14ac:dyDescent="0.2">
      <c r="A345" s="2" t="s">
        <v>8</v>
      </c>
      <c r="B345" s="2" t="s">
        <v>32</v>
      </c>
      <c r="C345" s="2">
        <v>56</v>
      </c>
      <c r="D345" s="2" t="s">
        <v>49</v>
      </c>
      <c r="E345" s="2" t="s">
        <v>49</v>
      </c>
      <c r="F345" s="2" t="str">
        <f t="shared" si="10"/>
        <v>EvaluateEmergency</v>
      </c>
      <c r="G345" s="2" t="b">
        <f t="shared" si="9"/>
        <v>1</v>
      </c>
      <c r="H345" t="str">
        <f>IF(D345="PARSE_ERROR","Parse Error",IF(NOT(G345),IF(D345=E345,"No Conflict (Correct)","No Conflict (Incorrect)"),IF(D345=E345,"Guideline-compliant",IF(D345=F345,"Knowledge-override","Neither"))))</f>
        <v>Guideline-compliant</v>
      </c>
    </row>
    <row r="346" spans="1:8" x14ac:dyDescent="0.2">
      <c r="A346" s="2" t="s">
        <v>27</v>
      </c>
      <c r="B346" s="2" t="s">
        <v>32</v>
      </c>
      <c r="C346" s="2">
        <v>1</v>
      </c>
      <c r="D346" s="2" t="s">
        <v>69</v>
      </c>
      <c r="E346" s="2" t="s">
        <v>69</v>
      </c>
      <c r="F346" s="2" t="str">
        <f t="shared" si="10"/>
        <v>Screen_3y</v>
      </c>
      <c r="G346" s="2" t="b">
        <f t="shared" si="9"/>
        <v>1</v>
      </c>
      <c r="H346" t="str">
        <f>IF(D346="PARSE_ERROR","Parse Error",IF(NOT(G346),IF(D346=E346,"No Conflict (Correct)","No Conflict (Incorrect)"),IF(D346=E346,"Guideline-compliant",IF(D346=F346,"Knowledge-override","Neither"))))</f>
        <v>Guideline-compliant</v>
      </c>
    </row>
    <row r="347" spans="1:8" x14ac:dyDescent="0.2">
      <c r="A347" s="2" t="s">
        <v>27</v>
      </c>
      <c r="B347" s="2" t="s">
        <v>32</v>
      </c>
      <c r="C347" s="2">
        <v>2</v>
      </c>
      <c r="D347" s="2" t="s">
        <v>28</v>
      </c>
      <c r="E347" s="2" t="s">
        <v>69</v>
      </c>
      <c r="F347" s="2" t="str">
        <f t="shared" si="10"/>
        <v>Screen_1y</v>
      </c>
      <c r="G347" s="2" t="b">
        <f t="shared" si="9"/>
        <v>1</v>
      </c>
      <c r="H347" t="str">
        <f>IF(D347="PARSE_ERROR","Parse Error",IF(NOT(G347),IF(D347=E347,"No Conflict (Correct)","No Conflict (Incorrect)"),IF(D347=E347,"Guideline-compliant",IF(D347=F347,"Knowledge-override","Neither"))))</f>
        <v>Parse Error</v>
      </c>
    </row>
    <row r="348" spans="1:8" x14ac:dyDescent="0.2">
      <c r="A348" s="2" t="s">
        <v>27</v>
      </c>
      <c r="B348" s="2" t="s">
        <v>32</v>
      </c>
      <c r="C348" s="2">
        <v>11</v>
      </c>
      <c r="D348" s="2" t="s">
        <v>28</v>
      </c>
      <c r="E348" s="2" t="s">
        <v>69</v>
      </c>
      <c r="F348" s="2" t="str">
        <f t="shared" si="10"/>
        <v>Screen_1y</v>
      </c>
      <c r="G348" s="2" t="b">
        <f t="shared" si="9"/>
        <v>1</v>
      </c>
      <c r="H348" t="str">
        <f>IF(D348="PARSE_ERROR","Parse Error",IF(NOT(G348),IF(D348=E348,"No Conflict (Correct)","No Conflict (Incorrect)"),IF(D348=E348,"Guideline-compliant",IF(D348=F348,"Knowledge-override","Neither"))))</f>
        <v>Parse Error</v>
      </c>
    </row>
    <row r="349" spans="1:8" x14ac:dyDescent="0.2">
      <c r="A349" s="2" t="s">
        <v>27</v>
      </c>
      <c r="B349" s="2" t="s">
        <v>32</v>
      </c>
      <c r="C349" s="2">
        <v>12</v>
      </c>
      <c r="D349" s="2" t="s">
        <v>28</v>
      </c>
      <c r="E349" s="2" t="s">
        <v>49</v>
      </c>
      <c r="F349" s="2" t="str">
        <f t="shared" si="10"/>
        <v>Confirm</v>
      </c>
      <c r="G349" s="2" t="b">
        <f t="shared" si="9"/>
        <v>1</v>
      </c>
      <c r="H349" t="str">
        <f>IF(D349="PARSE_ERROR","Parse Error",IF(NOT(G349),IF(D349=E349,"No Conflict (Correct)","No Conflict (Incorrect)"),IF(D349=E349,"Guideline-compliant",IF(D349=F349,"Knowledge-override","Neither"))))</f>
        <v>Parse Error</v>
      </c>
    </row>
    <row r="350" spans="1:8" x14ac:dyDescent="0.2">
      <c r="A350" s="2" t="s">
        <v>27</v>
      </c>
      <c r="B350" s="2" t="s">
        <v>32</v>
      </c>
      <c r="C350" s="2">
        <v>13</v>
      </c>
      <c r="D350" s="2" t="s">
        <v>28</v>
      </c>
      <c r="E350" s="2" t="s">
        <v>69</v>
      </c>
      <c r="F350" s="2" t="str">
        <f t="shared" si="10"/>
        <v>Screen_1y</v>
      </c>
      <c r="G350" s="2" t="b">
        <f t="shared" si="9"/>
        <v>1</v>
      </c>
      <c r="H350" t="str">
        <f>IF(D350="PARSE_ERROR","Parse Error",IF(NOT(G350),IF(D350=E350,"No Conflict (Correct)","No Conflict (Incorrect)"),IF(D350=E350,"Guideline-compliant",IF(D350=F350,"Knowledge-override","Neither"))))</f>
        <v>Parse Error</v>
      </c>
    </row>
    <row r="351" spans="1:8" x14ac:dyDescent="0.2">
      <c r="A351" s="2" t="s">
        <v>27</v>
      </c>
      <c r="B351" s="2" t="s">
        <v>32</v>
      </c>
      <c r="C351" s="2">
        <v>14</v>
      </c>
      <c r="D351" s="2" t="s">
        <v>28</v>
      </c>
      <c r="E351" s="2" t="s">
        <v>49</v>
      </c>
      <c r="F351" s="2" t="str">
        <f t="shared" si="10"/>
        <v>Confirm</v>
      </c>
      <c r="G351" s="2" t="b">
        <f t="shared" si="9"/>
        <v>1</v>
      </c>
      <c r="H351" t="str">
        <f>IF(D351="PARSE_ERROR","Parse Error",IF(NOT(G351),IF(D351=E351,"No Conflict (Correct)","No Conflict (Incorrect)"),IF(D351=E351,"Guideline-compliant",IF(D351=F351,"Knowledge-override","Neither"))))</f>
        <v>Parse Error</v>
      </c>
    </row>
    <row r="352" spans="1:8" x14ac:dyDescent="0.2">
      <c r="A352" s="2" t="s">
        <v>27</v>
      </c>
      <c r="B352" s="2" t="s">
        <v>32</v>
      </c>
      <c r="C352" s="2">
        <v>26</v>
      </c>
      <c r="D352" s="2" t="s">
        <v>49</v>
      </c>
      <c r="E352" s="2" t="s">
        <v>49</v>
      </c>
      <c r="F352" s="2" t="str">
        <f t="shared" si="10"/>
        <v>Confirm</v>
      </c>
      <c r="G352" s="2" t="b">
        <f t="shared" si="9"/>
        <v>1</v>
      </c>
      <c r="H352" t="str">
        <f>IF(D352="PARSE_ERROR","Parse Error",IF(NOT(G352),IF(D352=E352,"No Conflict (Correct)","No Conflict (Incorrect)"),IF(D352=E352,"Guideline-compliant",IF(D352=F352,"Knowledge-override","Neither"))))</f>
        <v>Guideline-compliant</v>
      </c>
    </row>
    <row r="353" spans="1:8" x14ac:dyDescent="0.2">
      <c r="A353" s="2" t="s">
        <v>27</v>
      </c>
      <c r="B353" s="2" t="s">
        <v>32</v>
      </c>
      <c r="C353" s="2">
        <v>31</v>
      </c>
      <c r="D353" s="2" t="s">
        <v>28</v>
      </c>
      <c r="E353" s="2" t="s">
        <v>49</v>
      </c>
      <c r="F353" s="2" t="str">
        <f t="shared" si="10"/>
        <v>Confirm</v>
      </c>
      <c r="G353" s="2" t="b">
        <f t="shared" si="9"/>
        <v>1</v>
      </c>
      <c r="H353" t="str">
        <f>IF(D353="PARSE_ERROR","Parse Error",IF(NOT(G353),IF(D353=E353,"No Conflict (Correct)","No Conflict (Incorrect)"),IF(D353=E353,"Guideline-compliant",IF(D353=F353,"Knowledge-override","Neither"))))</f>
        <v>Parse Error</v>
      </c>
    </row>
    <row r="354" spans="1:8" x14ac:dyDescent="0.2">
      <c r="A354" s="2" t="s">
        <v>27</v>
      </c>
      <c r="B354" s="2" t="s">
        <v>32</v>
      </c>
      <c r="C354" s="2">
        <v>33</v>
      </c>
      <c r="D354" s="2" t="s">
        <v>28</v>
      </c>
      <c r="E354" s="2" t="s">
        <v>49</v>
      </c>
      <c r="F354" s="2" t="str">
        <f t="shared" si="10"/>
        <v>Confirm</v>
      </c>
      <c r="G354" s="2" t="b">
        <f t="shared" si="9"/>
        <v>1</v>
      </c>
      <c r="H354" t="str">
        <f>IF(D354="PARSE_ERROR","Parse Error",IF(NOT(G354),IF(D354=E354,"No Conflict (Correct)","No Conflict (Incorrect)"),IF(D354=E354,"Guideline-compliant",IF(D354=F354,"Knowledge-override","Neither"))))</f>
        <v>Parse Error</v>
      </c>
    </row>
    <row r="355" spans="1:8" x14ac:dyDescent="0.2">
      <c r="A355" s="2" t="s">
        <v>27</v>
      </c>
      <c r="B355" s="2" t="s">
        <v>32</v>
      </c>
      <c r="C355" s="2">
        <v>41</v>
      </c>
      <c r="D355" s="2" t="s">
        <v>49</v>
      </c>
      <c r="E355" s="2" t="s">
        <v>49</v>
      </c>
      <c r="F355" s="2" t="str">
        <f t="shared" si="10"/>
        <v>ConfirmPromptly</v>
      </c>
      <c r="G355" s="2" t="b">
        <f t="shared" si="9"/>
        <v>1</v>
      </c>
      <c r="H355" t="str">
        <f>IF(D355="PARSE_ERROR","Parse Error",IF(NOT(G355),IF(D355=E355,"No Conflict (Correct)","No Conflict (Incorrect)"),IF(D355=E355,"Guideline-compliant",IF(D355=F355,"Knowledge-override","Neither"))))</f>
        <v>Guideline-compliant</v>
      </c>
    </row>
    <row r="356" spans="1:8" x14ac:dyDescent="0.2">
      <c r="A356" s="2" t="s">
        <v>27</v>
      </c>
      <c r="B356" s="2" t="s">
        <v>32</v>
      </c>
      <c r="C356" s="2">
        <v>44</v>
      </c>
      <c r="D356" s="2" t="s">
        <v>28</v>
      </c>
      <c r="E356" s="2" t="s">
        <v>49</v>
      </c>
      <c r="F356" s="2" t="str">
        <f t="shared" si="10"/>
        <v>ConfirmPromptly</v>
      </c>
      <c r="G356" s="2" t="b">
        <f t="shared" si="9"/>
        <v>1</v>
      </c>
      <c r="H356" t="str">
        <f>IF(D356="PARSE_ERROR","Parse Error",IF(NOT(G356),IF(D356=E356,"No Conflict (Correct)","No Conflict (Incorrect)"),IF(D356=E356,"Guideline-compliant",IF(D356=F356,"Knowledge-override","Neither"))))</f>
        <v>Parse Error</v>
      </c>
    </row>
    <row r="357" spans="1:8" x14ac:dyDescent="0.2">
      <c r="A357" s="2" t="s">
        <v>27</v>
      </c>
      <c r="B357" s="2" t="s">
        <v>32</v>
      </c>
      <c r="C357" s="2">
        <v>45</v>
      </c>
      <c r="D357" s="2" t="s">
        <v>28</v>
      </c>
      <c r="E357" s="2" t="s">
        <v>49</v>
      </c>
      <c r="F357" s="2" t="str">
        <f t="shared" si="10"/>
        <v>ConfirmPromptly</v>
      </c>
      <c r="G357" s="2" t="b">
        <f t="shared" si="9"/>
        <v>1</v>
      </c>
      <c r="H357" t="str">
        <f>IF(D357="PARSE_ERROR","Parse Error",IF(NOT(G357),IF(D357=E357,"No Conflict (Correct)","No Conflict (Incorrect)"),IF(D357=E357,"Guideline-compliant",IF(D357=F357,"Knowledge-override","Neither"))))</f>
        <v>Parse Error</v>
      </c>
    </row>
    <row r="358" spans="1:8" x14ac:dyDescent="0.2">
      <c r="A358" s="2" t="s">
        <v>27</v>
      </c>
      <c r="B358" s="2" t="s">
        <v>32</v>
      </c>
      <c r="C358" s="2">
        <v>51</v>
      </c>
      <c r="D358" s="2" t="s">
        <v>49</v>
      </c>
      <c r="E358" s="2" t="s">
        <v>49</v>
      </c>
      <c r="F358" s="2" t="str">
        <f t="shared" si="10"/>
        <v>EvaluateEmergency</v>
      </c>
      <c r="G358" s="2" t="b">
        <f t="shared" si="9"/>
        <v>1</v>
      </c>
      <c r="H358" t="str">
        <f>IF(D358="PARSE_ERROR","Parse Error",IF(NOT(G358),IF(D358=E358,"No Conflict (Correct)","No Conflict (Incorrect)"),IF(D358=E358,"Guideline-compliant",IF(D358=F358,"Knowledge-override","Neither"))))</f>
        <v>Guideline-compliant</v>
      </c>
    </row>
    <row r="359" spans="1:8" x14ac:dyDescent="0.2">
      <c r="A359" s="2" t="s">
        <v>27</v>
      </c>
      <c r="B359" s="2" t="s">
        <v>32</v>
      </c>
      <c r="C359" s="2">
        <v>59</v>
      </c>
      <c r="D359" s="2" t="s">
        <v>28</v>
      </c>
      <c r="E359" s="2" t="s">
        <v>49</v>
      </c>
      <c r="F359" s="2" t="str">
        <f t="shared" si="10"/>
        <v>EvaluateEmergency</v>
      </c>
      <c r="G359" s="2" t="b">
        <f t="shared" si="9"/>
        <v>1</v>
      </c>
      <c r="H359" t="str">
        <f>IF(D359="PARSE_ERROR","Parse Error",IF(NOT(G359),IF(D359=E359,"No Conflict (Correct)","No Conflict (Incorrect)"),IF(D359=E359,"Guideline-compliant",IF(D359=F359,"Knowledge-override","Neither"))))</f>
        <v>Parse Error</v>
      </c>
    </row>
    <row r="360" spans="1:8" x14ac:dyDescent="0.2">
      <c r="A360" s="2" t="s">
        <v>27</v>
      </c>
      <c r="B360" s="2" t="s">
        <v>32</v>
      </c>
      <c r="C360" s="2">
        <v>56</v>
      </c>
      <c r="D360" s="2" t="s">
        <v>28</v>
      </c>
      <c r="E360" s="2" t="s">
        <v>49</v>
      </c>
      <c r="F360" s="2" t="str">
        <f t="shared" si="10"/>
        <v>EvaluateEmergency</v>
      </c>
      <c r="G360" s="2" t="b">
        <f t="shared" si="9"/>
        <v>1</v>
      </c>
      <c r="H360" t="str">
        <f>IF(D360="PARSE_ERROR","Parse Error",IF(NOT(G360),IF(D360=E360,"No Conflict (Correct)","No Conflict (Incorrect)"),IF(D360=E360,"Guideline-compliant",IF(D360=F360,"Knowledge-override","Neither"))))</f>
        <v>Parse Error</v>
      </c>
    </row>
    <row r="361" spans="1:8" x14ac:dyDescent="0.2">
      <c r="A361" s="2" t="s">
        <v>29</v>
      </c>
      <c r="B361" s="2" t="s">
        <v>32</v>
      </c>
      <c r="C361" s="2">
        <v>1</v>
      </c>
      <c r="D361" s="2" t="s">
        <v>69</v>
      </c>
      <c r="E361" s="2" t="s">
        <v>69</v>
      </c>
      <c r="F361" s="2" t="str">
        <f t="shared" si="10"/>
        <v>Screen_3y</v>
      </c>
      <c r="G361" s="2" t="b">
        <f t="shared" si="9"/>
        <v>1</v>
      </c>
      <c r="H361" t="str">
        <f>IF(D361="PARSE_ERROR","Parse Error",IF(NOT(G361),IF(D361=E361,"No Conflict (Correct)","No Conflict (Incorrect)"),IF(D361=E361,"Guideline-compliant",IF(D361=F361,"Knowledge-override","Neither"))))</f>
        <v>Guideline-compliant</v>
      </c>
    </row>
    <row r="362" spans="1:8" x14ac:dyDescent="0.2">
      <c r="A362" s="2" t="s">
        <v>29</v>
      </c>
      <c r="B362" s="2" t="s">
        <v>32</v>
      </c>
      <c r="C362" s="2">
        <v>2</v>
      </c>
      <c r="D362" s="2" t="s">
        <v>69</v>
      </c>
      <c r="E362" s="2" t="s">
        <v>69</v>
      </c>
      <c r="F362" s="2" t="str">
        <f t="shared" si="10"/>
        <v>Screen_1y</v>
      </c>
      <c r="G362" s="2" t="b">
        <f t="shared" si="9"/>
        <v>1</v>
      </c>
      <c r="H362" t="str">
        <f>IF(D362="PARSE_ERROR","Parse Error",IF(NOT(G362),IF(D362=E362,"No Conflict (Correct)","No Conflict (Incorrect)"),IF(D362=E362,"Guideline-compliant",IF(D362=F362,"Knowledge-override","Neither"))))</f>
        <v>Guideline-compliant</v>
      </c>
    </row>
    <row r="363" spans="1:8" x14ac:dyDescent="0.2">
      <c r="A363" s="2" t="s">
        <v>29</v>
      </c>
      <c r="B363" s="2" t="s">
        <v>32</v>
      </c>
      <c r="C363" s="2">
        <v>11</v>
      </c>
      <c r="D363" s="2" t="s">
        <v>69</v>
      </c>
      <c r="E363" s="2" t="s">
        <v>69</v>
      </c>
      <c r="F363" s="2" t="str">
        <f t="shared" si="10"/>
        <v>Screen_1y</v>
      </c>
      <c r="G363" s="2" t="b">
        <f t="shared" si="9"/>
        <v>1</v>
      </c>
      <c r="H363" t="str">
        <f t="shared" ref="H363:H390" si="11">IF(D363="PARSE_ERROR","Parse Error",IF(NOT(G363),IF(D363=E363,"No Conflict (Correct)","No Conflict (Incorrect)"),IF(D363=E363,"Guideline-compliant",IF(D363=F363,"Knowledge-override","Neither"))))</f>
        <v>Guideline-compliant</v>
      </c>
    </row>
    <row r="364" spans="1:8" x14ac:dyDescent="0.2">
      <c r="A364" s="2" t="s">
        <v>29</v>
      </c>
      <c r="B364" s="2" t="s">
        <v>32</v>
      </c>
      <c r="C364" s="2">
        <v>12</v>
      </c>
      <c r="D364" s="2" t="s">
        <v>69</v>
      </c>
      <c r="E364" s="2" t="s">
        <v>49</v>
      </c>
      <c r="F364" s="2" t="str">
        <f t="shared" si="10"/>
        <v>Confirm</v>
      </c>
      <c r="G364" s="2" t="b">
        <f t="shared" si="9"/>
        <v>1</v>
      </c>
      <c r="H364" t="str">
        <f t="shared" si="11"/>
        <v>Neither</v>
      </c>
    </row>
    <row r="365" spans="1:8" x14ac:dyDescent="0.2">
      <c r="A365" s="2" t="s">
        <v>29</v>
      </c>
      <c r="B365" s="2" t="s">
        <v>32</v>
      </c>
      <c r="C365" s="2">
        <v>13</v>
      </c>
      <c r="D365" s="2" t="s">
        <v>69</v>
      </c>
      <c r="E365" s="2" t="s">
        <v>69</v>
      </c>
      <c r="F365" s="2" t="str">
        <f t="shared" si="10"/>
        <v>Screen_1y</v>
      </c>
      <c r="G365" s="2" t="b">
        <f t="shared" si="9"/>
        <v>1</v>
      </c>
      <c r="H365" t="str">
        <f t="shared" si="11"/>
        <v>Guideline-compliant</v>
      </c>
    </row>
    <row r="366" spans="1:8" x14ac:dyDescent="0.2">
      <c r="A366" s="2" t="s">
        <v>29</v>
      </c>
      <c r="B366" s="2" t="s">
        <v>32</v>
      </c>
      <c r="C366" s="2">
        <v>14</v>
      </c>
      <c r="D366" s="2" t="s">
        <v>69</v>
      </c>
      <c r="E366" s="2" t="s">
        <v>49</v>
      </c>
      <c r="F366" s="2" t="str">
        <f t="shared" si="10"/>
        <v>Confirm</v>
      </c>
      <c r="G366" s="2" t="b">
        <f t="shared" si="9"/>
        <v>1</v>
      </c>
      <c r="H366" t="str">
        <f t="shared" si="11"/>
        <v>Neither</v>
      </c>
    </row>
    <row r="367" spans="1:8" x14ac:dyDescent="0.2">
      <c r="A367" s="2" t="s">
        <v>29</v>
      </c>
      <c r="B367" s="2" t="s">
        <v>32</v>
      </c>
      <c r="C367" s="2">
        <v>26</v>
      </c>
      <c r="D367" s="2" t="s">
        <v>49</v>
      </c>
      <c r="E367" s="2" t="s">
        <v>49</v>
      </c>
      <c r="F367" s="2" t="str">
        <f t="shared" si="10"/>
        <v>Confirm</v>
      </c>
      <c r="G367" s="2" t="b">
        <f t="shared" si="9"/>
        <v>1</v>
      </c>
      <c r="H367" t="str">
        <f t="shared" si="11"/>
        <v>Guideline-compliant</v>
      </c>
    </row>
    <row r="368" spans="1:8" x14ac:dyDescent="0.2">
      <c r="A368" s="2" t="s">
        <v>29</v>
      </c>
      <c r="B368" s="2" t="s">
        <v>32</v>
      </c>
      <c r="C368" s="2">
        <v>31</v>
      </c>
      <c r="D368" s="2" t="s">
        <v>49</v>
      </c>
      <c r="E368" s="2" t="s">
        <v>49</v>
      </c>
      <c r="F368" s="2" t="str">
        <f t="shared" si="10"/>
        <v>Confirm</v>
      </c>
      <c r="G368" s="2" t="b">
        <f t="shared" si="9"/>
        <v>1</v>
      </c>
      <c r="H368" t="str">
        <f t="shared" si="11"/>
        <v>Guideline-compliant</v>
      </c>
    </row>
    <row r="369" spans="1:8" x14ac:dyDescent="0.2">
      <c r="A369" s="2" t="s">
        <v>29</v>
      </c>
      <c r="B369" s="2" t="s">
        <v>32</v>
      </c>
      <c r="C369" s="2">
        <v>33</v>
      </c>
      <c r="D369" s="2" t="s">
        <v>49</v>
      </c>
      <c r="E369" s="2" t="s">
        <v>49</v>
      </c>
      <c r="F369" s="2" t="str">
        <f t="shared" si="10"/>
        <v>Confirm</v>
      </c>
      <c r="G369" s="2" t="b">
        <f t="shared" si="9"/>
        <v>1</v>
      </c>
      <c r="H369" t="str">
        <f t="shared" si="11"/>
        <v>Guideline-compliant</v>
      </c>
    </row>
    <row r="370" spans="1:8" x14ac:dyDescent="0.2">
      <c r="A370" s="2" t="s">
        <v>29</v>
      </c>
      <c r="B370" s="2" t="s">
        <v>32</v>
      </c>
      <c r="C370" s="2">
        <v>41</v>
      </c>
      <c r="D370" s="2" t="s">
        <v>49</v>
      </c>
      <c r="E370" s="2" t="s">
        <v>49</v>
      </c>
      <c r="F370" s="2" t="str">
        <f t="shared" si="10"/>
        <v>ConfirmPromptly</v>
      </c>
      <c r="G370" s="2" t="b">
        <f t="shared" si="9"/>
        <v>1</v>
      </c>
      <c r="H370" t="str">
        <f t="shared" si="11"/>
        <v>Guideline-compliant</v>
      </c>
    </row>
    <row r="371" spans="1:8" x14ac:dyDescent="0.2">
      <c r="A371" s="2" t="s">
        <v>29</v>
      </c>
      <c r="B371" s="2" t="s">
        <v>32</v>
      </c>
      <c r="C371" s="2">
        <v>44</v>
      </c>
      <c r="D371" s="2" t="s">
        <v>49</v>
      </c>
      <c r="E371" s="2" t="s">
        <v>49</v>
      </c>
      <c r="F371" s="2" t="str">
        <f t="shared" si="10"/>
        <v>ConfirmPromptly</v>
      </c>
      <c r="G371" s="2" t="b">
        <f t="shared" si="9"/>
        <v>1</v>
      </c>
      <c r="H371" t="str">
        <f t="shared" si="11"/>
        <v>Guideline-compliant</v>
      </c>
    </row>
    <row r="372" spans="1:8" x14ac:dyDescent="0.2">
      <c r="A372" s="2" t="s">
        <v>29</v>
      </c>
      <c r="B372" s="2" t="s">
        <v>32</v>
      </c>
      <c r="C372" s="2">
        <v>45</v>
      </c>
      <c r="D372" s="2" t="s">
        <v>69</v>
      </c>
      <c r="E372" s="2" t="s">
        <v>49</v>
      </c>
      <c r="F372" s="2" t="str">
        <f t="shared" si="10"/>
        <v>ConfirmPromptly</v>
      </c>
      <c r="G372" s="2" t="b">
        <f t="shared" si="9"/>
        <v>1</v>
      </c>
      <c r="H372" t="str">
        <f t="shared" si="11"/>
        <v>Neither</v>
      </c>
    </row>
    <row r="373" spans="1:8" x14ac:dyDescent="0.2">
      <c r="A373" s="2" t="s">
        <v>29</v>
      </c>
      <c r="B373" s="2" t="s">
        <v>32</v>
      </c>
      <c r="C373" s="2">
        <v>51</v>
      </c>
      <c r="D373" s="2" t="s">
        <v>49</v>
      </c>
      <c r="E373" s="2" t="s">
        <v>49</v>
      </c>
      <c r="F373" s="2" t="str">
        <f t="shared" si="10"/>
        <v>EvaluateEmergency</v>
      </c>
      <c r="G373" s="2" t="b">
        <f t="shared" si="9"/>
        <v>1</v>
      </c>
      <c r="H373" t="str">
        <f t="shared" si="11"/>
        <v>Guideline-compliant</v>
      </c>
    </row>
    <row r="374" spans="1:8" x14ac:dyDescent="0.2">
      <c r="A374" s="2" t="s">
        <v>29</v>
      </c>
      <c r="B374" s="2" t="s">
        <v>32</v>
      </c>
      <c r="C374" s="2">
        <v>59</v>
      </c>
      <c r="D374" s="2" t="s">
        <v>49</v>
      </c>
      <c r="E374" s="2" t="s">
        <v>49</v>
      </c>
      <c r="F374" s="2" t="str">
        <f t="shared" si="10"/>
        <v>EvaluateEmergency</v>
      </c>
      <c r="G374" s="2" t="b">
        <f t="shared" si="9"/>
        <v>1</v>
      </c>
      <c r="H374" t="str">
        <f t="shared" si="11"/>
        <v>Guideline-compliant</v>
      </c>
    </row>
    <row r="375" spans="1:8" x14ac:dyDescent="0.2">
      <c r="A375" s="2" t="s">
        <v>29</v>
      </c>
      <c r="B375" s="2" t="s">
        <v>32</v>
      </c>
      <c r="C375" s="2">
        <v>56</v>
      </c>
      <c r="D375" s="2" t="s">
        <v>69</v>
      </c>
      <c r="E375" s="2" t="s">
        <v>49</v>
      </c>
      <c r="F375" s="2" t="str">
        <f t="shared" si="10"/>
        <v>EvaluateEmergency</v>
      </c>
      <c r="G375" s="2" t="b">
        <f t="shared" si="9"/>
        <v>1</v>
      </c>
      <c r="H375" t="str">
        <f t="shared" si="11"/>
        <v>Knowledge-override</v>
      </c>
    </row>
    <row r="376" spans="1:8" x14ac:dyDescent="0.2">
      <c r="A376" s="2" t="s">
        <v>30</v>
      </c>
      <c r="B376" s="2" t="s">
        <v>32</v>
      </c>
      <c r="C376" s="2">
        <v>1</v>
      </c>
      <c r="D376" s="2" t="s">
        <v>28</v>
      </c>
      <c r="E376" s="2" t="s">
        <v>69</v>
      </c>
      <c r="F376" s="2" t="str">
        <f t="shared" si="10"/>
        <v>Screen_3y</v>
      </c>
      <c r="G376" s="2" t="b">
        <f t="shared" si="9"/>
        <v>1</v>
      </c>
      <c r="H376" t="str">
        <f t="shared" si="11"/>
        <v>Parse Error</v>
      </c>
    </row>
    <row r="377" spans="1:8" x14ac:dyDescent="0.2">
      <c r="A377" s="2" t="s">
        <v>30</v>
      </c>
      <c r="B377" s="2" t="s">
        <v>32</v>
      </c>
      <c r="C377" s="2">
        <v>2</v>
      </c>
      <c r="D377" s="2" t="s">
        <v>28</v>
      </c>
      <c r="E377" s="2" t="s">
        <v>69</v>
      </c>
      <c r="F377" s="2" t="str">
        <f t="shared" si="10"/>
        <v>Screen_1y</v>
      </c>
      <c r="G377" s="2" t="b">
        <f t="shared" si="9"/>
        <v>1</v>
      </c>
      <c r="H377" t="str">
        <f t="shared" si="11"/>
        <v>Parse Error</v>
      </c>
    </row>
    <row r="378" spans="1:8" x14ac:dyDescent="0.2">
      <c r="A378" s="2" t="s">
        <v>30</v>
      </c>
      <c r="B378" s="2" t="s">
        <v>32</v>
      </c>
      <c r="C378" s="2">
        <v>11</v>
      </c>
      <c r="D378" s="2" t="s">
        <v>28</v>
      </c>
      <c r="E378" s="2" t="s">
        <v>69</v>
      </c>
      <c r="F378" s="2" t="str">
        <f t="shared" si="10"/>
        <v>Screen_1y</v>
      </c>
      <c r="G378" s="2" t="b">
        <f t="shared" si="9"/>
        <v>1</v>
      </c>
      <c r="H378" t="str">
        <f t="shared" si="11"/>
        <v>Parse Error</v>
      </c>
    </row>
    <row r="379" spans="1:8" x14ac:dyDescent="0.2">
      <c r="A379" s="2" t="s">
        <v>30</v>
      </c>
      <c r="B379" s="2" t="s">
        <v>32</v>
      </c>
      <c r="C379" s="2">
        <v>12</v>
      </c>
      <c r="D379" s="2" t="s">
        <v>28</v>
      </c>
      <c r="E379" s="2" t="s">
        <v>49</v>
      </c>
      <c r="F379" s="2" t="str">
        <f t="shared" si="10"/>
        <v>Confirm</v>
      </c>
      <c r="G379" s="2" t="b">
        <f t="shared" si="9"/>
        <v>1</v>
      </c>
      <c r="H379" t="str">
        <f t="shared" si="11"/>
        <v>Parse Error</v>
      </c>
    </row>
    <row r="380" spans="1:8" x14ac:dyDescent="0.2">
      <c r="A380" s="2" t="s">
        <v>30</v>
      </c>
      <c r="B380" s="2" t="s">
        <v>32</v>
      </c>
      <c r="C380" s="2">
        <v>13</v>
      </c>
      <c r="D380" s="2" t="s">
        <v>28</v>
      </c>
      <c r="E380" s="2" t="s">
        <v>69</v>
      </c>
      <c r="F380" s="2" t="str">
        <f t="shared" si="10"/>
        <v>Screen_1y</v>
      </c>
      <c r="G380" s="2" t="b">
        <f t="shared" si="9"/>
        <v>1</v>
      </c>
      <c r="H380" t="str">
        <f t="shared" si="11"/>
        <v>Parse Error</v>
      </c>
    </row>
    <row r="381" spans="1:8" x14ac:dyDescent="0.2">
      <c r="A381" s="2" t="s">
        <v>30</v>
      </c>
      <c r="B381" s="2" t="s">
        <v>32</v>
      </c>
      <c r="C381" s="2">
        <v>14</v>
      </c>
      <c r="D381" s="2" t="s">
        <v>28</v>
      </c>
      <c r="E381" s="2" t="s">
        <v>49</v>
      </c>
      <c r="F381" s="2" t="str">
        <f t="shared" si="10"/>
        <v>Confirm</v>
      </c>
      <c r="G381" s="2" t="b">
        <f t="shared" si="9"/>
        <v>1</v>
      </c>
      <c r="H381" t="str">
        <f t="shared" si="11"/>
        <v>Parse Error</v>
      </c>
    </row>
    <row r="382" spans="1:8" x14ac:dyDescent="0.2">
      <c r="A382" s="2" t="s">
        <v>30</v>
      </c>
      <c r="B382" s="2" t="s">
        <v>32</v>
      </c>
      <c r="C382" s="2">
        <v>26</v>
      </c>
      <c r="D382" s="2" t="s">
        <v>28</v>
      </c>
      <c r="E382" s="2" t="s">
        <v>49</v>
      </c>
      <c r="F382" s="2" t="str">
        <f t="shared" si="10"/>
        <v>Confirm</v>
      </c>
      <c r="G382" s="2" t="b">
        <f t="shared" si="9"/>
        <v>1</v>
      </c>
      <c r="H382" t="str">
        <f t="shared" si="11"/>
        <v>Parse Error</v>
      </c>
    </row>
    <row r="383" spans="1:8" x14ac:dyDescent="0.2">
      <c r="A383" s="2" t="s">
        <v>30</v>
      </c>
      <c r="B383" s="2" t="s">
        <v>32</v>
      </c>
      <c r="C383" s="2">
        <v>31</v>
      </c>
      <c r="D383" s="2" t="s">
        <v>28</v>
      </c>
      <c r="E383" s="2" t="s">
        <v>49</v>
      </c>
      <c r="F383" s="2" t="str">
        <f t="shared" si="10"/>
        <v>Confirm</v>
      </c>
      <c r="G383" s="2" t="b">
        <f t="shared" si="9"/>
        <v>1</v>
      </c>
      <c r="H383" t="str">
        <f t="shared" si="11"/>
        <v>Parse Error</v>
      </c>
    </row>
    <row r="384" spans="1:8" x14ac:dyDescent="0.2">
      <c r="A384" s="2" t="s">
        <v>30</v>
      </c>
      <c r="B384" s="2" t="s">
        <v>32</v>
      </c>
      <c r="C384" s="2">
        <v>33</v>
      </c>
      <c r="D384" s="2" t="s">
        <v>28</v>
      </c>
      <c r="E384" s="2" t="s">
        <v>49</v>
      </c>
      <c r="F384" s="2" t="str">
        <f t="shared" si="10"/>
        <v>Confirm</v>
      </c>
      <c r="G384" s="2" t="b">
        <f t="shared" si="9"/>
        <v>1</v>
      </c>
      <c r="H384" t="str">
        <f t="shared" si="11"/>
        <v>Parse Error</v>
      </c>
    </row>
    <row r="385" spans="1:8" x14ac:dyDescent="0.2">
      <c r="A385" s="2" t="s">
        <v>30</v>
      </c>
      <c r="B385" s="2" t="s">
        <v>32</v>
      </c>
      <c r="C385" s="2">
        <v>41</v>
      </c>
      <c r="D385" s="2" t="s">
        <v>28</v>
      </c>
      <c r="E385" s="2" t="s">
        <v>49</v>
      </c>
      <c r="F385" s="2" t="str">
        <f t="shared" si="10"/>
        <v>ConfirmPromptly</v>
      </c>
      <c r="G385" s="2" t="b">
        <f t="shared" si="9"/>
        <v>1</v>
      </c>
      <c r="H385" t="str">
        <f t="shared" si="11"/>
        <v>Parse Error</v>
      </c>
    </row>
    <row r="386" spans="1:8" x14ac:dyDescent="0.2">
      <c r="A386" s="2" t="s">
        <v>30</v>
      </c>
      <c r="B386" s="2" t="s">
        <v>32</v>
      </c>
      <c r="C386" s="2">
        <v>44</v>
      </c>
      <c r="D386" s="2" t="s">
        <v>28</v>
      </c>
      <c r="E386" s="2" t="s">
        <v>49</v>
      </c>
      <c r="F386" s="2" t="str">
        <f t="shared" si="10"/>
        <v>ConfirmPromptly</v>
      </c>
      <c r="G386" s="2" t="b">
        <f t="shared" si="9"/>
        <v>1</v>
      </c>
      <c r="H386" t="str">
        <f t="shared" si="11"/>
        <v>Parse Error</v>
      </c>
    </row>
    <row r="387" spans="1:8" x14ac:dyDescent="0.2">
      <c r="A387" s="2" t="s">
        <v>30</v>
      </c>
      <c r="B387" s="2" t="s">
        <v>32</v>
      </c>
      <c r="C387" s="2">
        <v>45</v>
      </c>
      <c r="D387" s="2" t="s">
        <v>28</v>
      </c>
      <c r="E387" s="2" t="s">
        <v>49</v>
      </c>
      <c r="F387" s="2" t="str">
        <f t="shared" si="10"/>
        <v>ConfirmPromptly</v>
      </c>
      <c r="G387" s="2" t="b">
        <f t="shared" si="9"/>
        <v>1</v>
      </c>
      <c r="H387" t="str">
        <f t="shared" si="11"/>
        <v>Parse Error</v>
      </c>
    </row>
    <row r="388" spans="1:8" x14ac:dyDescent="0.2">
      <c r="A388" s="2" t="s">
        <v>30</v>
      </c>
      <c r="B388" s="2" t="s">
        <v>32</v>
      </c>
      <c r="C388" s="2">
        <v>51</v>
      </c>
      <c r="D388" s="2" t="s">
        <v>28</v>
      </c>
      <c r="E388" s="2" t="s">
        <v>49</v>
      </c>
      <c r="F388" s="2" t="str">
        <f t="shared" si="10"/>
        <v>EvaluateEmergency</v>
      </c>
      <c r="G388" s="2" t="b">
        <f t="shared" si="9"/>
        <v>1</v>
      </c>
      <c r="H388" t="str">
        <f t="shared" si="11"/>
        <v>Parse Error</v>
      </c>
    </row>
    <row r="389" spans="1:8" x14ac:dyDescent="0.2">
      <c r="A389" s="2" t="s">
        <v>30</v>
      </c>
      <c r="B389" s="2" t="s">
        <v>32</v>
      </c>
      <c r="C389" s="2">
        <v>59</v>
      </c>
      <c r="D389" s="2" t="s">
        <v>28</v>
      </c>
      <c r="E389" s="2" t="s">
        <v>49</v>
      </c>
      <c r="F389" s="2" t="str">
        <f t="shared" si="10"/>
        <v>EvaluateEmergency</v>
      </c>
      <c r="G389" s="2" t="b">
        <f t="shared" si="9"/>
        <v>1</v>
      </c>
      <c r="H389" t="str">
        <f t="shared" si="11"/>
        <v>Parse Error</v>
      </c>
    </row>
    <row r="390" spans="1:8" x14ac:dyDescent="0.2">
      <c r="A390" s="2" t="s">
        <v>30</v>
      </c>
      <c r="B390" s="2" t="s">
        <v>32</v>
      </c>
      <c r="C390" s="2">
        <v>56</v>
      </c>
      <c r="D390" s="2" t="s">
        <v>28</v>
      </c>
      <c r="E390" s="2" t="s">
        <v>49</v>
      </c>
      <c r="F390" s="2" t="str">
        <f t="shared" si="10"/>
        <v>EvaluateEmergency</v>
      </c>
      <c r="G390" s="2" t="b">
        <f t="shared" si="9"/>
        <v>1</v>
      </c>
      <c r="H390" t="str">
        <f t="shared" si="11"/>
        <v>Parse Error</v>
      </c>
    </row>
    <row r="393" spans="1:8" x14ac:dyDescent="0.2">
      <c r="A393" s="1" t="s">
        <v>0</v>
      </c>
      <c r="B393" s="1" t="s">
        <v>44</v>
      </c>
      <c r="C393" s="1" t="s">
        <v>45</v>
      </c>
      <c r="D393" s="1" t="s">
        <v>46</v>
      </c>
      <c r="E393" s="1" t="s">
        <v>47</v>
      </c>
      <c r="F393" s="1" t="s">
        <v>48</v>
      </c>
    </row>
    <row r="394" spans="1:8" x14ac:dyDescent="0.2">
      <c r="A394" s="2" t="s">
        <v>8</v>
      </c>
      <c r="B394" s="2">
        <f>COUNTIFS(A211:A390,"gpt",H211:H390,"Guideline-compliant",G211:G390,TRUE)</f>
        <v>33</v>
      </c>
      <c r="C394" s="2">
        <f>COUNTIFS(A211:A390,"gpt",H211:H390,"Knowledge-override",G211:G390,TRUE)</f>
        <v>1</v>
      </c>
      <c r="D394" s="2">
        <f>COUNTIFS(A211:A390,"gpt",H211:H390,"Neither",G211:G390,TRUE)</f>
        <v>0</v>
      </c>
      <c r="E394" s="2">
        <f>COUNTIFS(A211:A390,"gpt",H211:H390,"Parse Error",G211:G390,TRUE)</f>
        <v>0</v>
      </c>
      <c r="F394" s="2">
        <f>SUM(B394:E394)</f>
        <v>34</v>
      </c>
    </row>
    <row r="395" spans="1:8" x14ac:dyDescent="0.2">
      <c r="A395" s="2" t="s">
        <v>27</v>
      </c>
      <c r="B395" s="2">
        <f>COUNTIFS(A211:A390,"claude",H211:H390,"Guideline-compliant",G211:G390,TRUE)</f>
        <v>17</v>
      </c>
      <c r="C395" s="2">
        <f>COUNTIFS(A211:A390,"claude",H211:H390,"Knowledge-override",G211:G390,TRUE)</f>
        <v>0</v>
      </c>
      <c r="D395" s="2">
        <f>COUNTIFS(A211:A390,"claude",H211:H390,"Neither",G211:G390,TRUE)</f>
        <v>0</v>
      </c>
      <c r="E395" s="2">
        <f>COUNTIFS(A211:A390,"claude",H211:H390,"Parse Error",G211:G390,TRUE)</f>
        <v>17</v>
      </c>
      <c r="F395" s="2">
        <f>SUM(B395:E395)</f>
        <v>34</v>
      </c>
    </row>
    <row r="396" spans="1:8" x14ac:dyDescent="0.2">
      <c r="A396" s="2" t="s">
        <v>29</v>
      </c>
      <c r="B396" s="2">
        <f>COUNTIFS(A211:A390,"gemini",H211:H390,"Guideline-compliant",G211:G390,TRUE)</f>
        <v>28</v>
      </c>
      <c r="C396" s="2">
        <f>COUNTIFS(A211:A390,"gemini",H211:H390,"Knowledge-override",G211:G390,TRUE)</f>
        <v>2</v>
      </c>
      <c r="D396" s="2">
        <f>COUNTIFS(A211:A390,"gemini",H211:H390,"Neither",G211:G390,TRUE)</f>
        <v>4</v>
      </c>
      <c r="E396" s="2">
        <f>COUNTIFS(A211:A390,"gpt",H211:H390,"Parse Error",G211:G390,TRUE)</f>
        <v>0</v>
      </c>
      <c r="F396" s="2">
        <f>SUM(B396:E396)</f>
        <v>34</v>
      </c>
    </row>
    <row r="397" spans="1:8" x14ac:dyDescent="0.2">
      <c r="A397" s="2" t="s">
        <v>30</v>
      </c>
      <c r="B397" s="2">
        <f>COUNTIFS(A211:A390,"llama",H211:H390,"Guideline-compliant",G211:G390,TRUE)</f>
        <v>0</v>
      </c>
      <c r="C397" s="2">
        <f>COUNTIFS(A211:A390,"llama",H211:H390,"Knowledge-override",G211:G390,TRUE)</f>
        <v>0</v>
      </c>
      <c r="D397" s="2">
        <f>COUNTIFS(A211:A390,"llama",H211:H390,"Neither",G211:G390,TRUE)</f>
        <v>0</v>
      </c>
      <c r="E397" s="2">
        <f>COUNTIFS(A211:A390,"llama",H211:H390,"Parse Error",G211:G390,TRUE)</f>
        <v>34</v>
      </c>
      <c r="F397" s="2">
        <f>SUM(B397:E397)</f>
        <v>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F8486-B1D5-2C4A-80E0-CA66778F39D6}">
  <dimension ref="A1:K512"/>
  <sheetViews>
    <sheetView topLeftCell="A481" workbookViewId="0">
      <selection activeCell="G512" sqref="G512"/>
    </sheetView>
  </sheetViews>
  <sheetFormatPr baseColWidth="10" defaultRowHeight="16" x14ac:dyDescent="0.2"/>
  <cols>
    <col min="2" max="2" width="31.5" customWidth="1"/>
    <col min="4" max="4" width="15.83203125" customWidth="1"/>
    <col min="5" max="5" width="34.6640625" customWidth="1"/>
    <col min="7" max="7" width="44.33203125" customWidth="1"/>
  </cols>
  <sheetData>
    <row r="1" spans="1:8" x14ac:dyDescent="0.2">
      <c r="A1" s="1" t="s">
        <v>0</v>
      </c>
      <c r="B1" s="1" t="s">
        <v>1</v>
      </c>
      <c r="C1" s="1" t="s">
        <v>2</v>
      </c>
      <c r="D1" s="1" t="s">
        <v>3</v>
      </c>
      <c r="E1" s="1" t="s">
        <v>4</v>
      </c>
      <c r="F1" s="1" t="s">
        <v>5</v>
      </c>
      <c r="G1" s="1" t="s">
        <v>6</v>
      </c>
      <c r="H1" s="1" t="s">
        <v>7</v>
      </c>
    </row>
    <row r="2" spans="1:8" x14ac:dyDescent="0.2">
      <c r="A2" s="2" t="s">
        <v>8</v>
      </c>
      <c r="B2" s="2" t="s">
        <v>9</v>
      </c>
      <c r="C2" s="2">
        <v>1</v>
      </c>
      <c r="D2" s="2" t="s">
        <v>71</v>
      </c>
      <c r="E2" s="2" t="s">
        <v>71</v>
      </c>
      <c r="F2" s="3" t="b">
        <f>TRUE()</f>
        <v>1</v>
      </c>
      <c r="G2" s="2" t="s">
        <v>72</v>
      </c>
      <c r="H2" s="2" t="str">
        <f t="shared" ref="H2:H65" si="0">A2&amp;"|"&amp;B2&amp;"|"&amp;C2</f>
        <v>gpt|threshold_small|1</v>
      </c>
    </row>
    <row r="3" spans="1:8" x14ac:dyDescent="0.2">
      <c r="A3" s="2" t="s">
        <v>8</v>
      </c>
      <c r="B3" s="2" t="s">
        <v>9</v>
      </c>
      <c r="C3" s="2">
        <v>2</v>
      </c>
      <c r="D3" s="2" t="s">
        <v>71</v>
      </c>
      <c r="E3" s="2" t="s">
        <v>73</v>
      </c>
      <c r="F3" s="4" t="b">
        <f>FALSE()</f>
        <v>0</v>
      </c>
      <c r="G3" s="2" t="s">
        <v>74</v>
      </c>
      <c r="H3" s="2" t="str">
        <f t="shared" si="0"/>
        <v>gpt|threshold_small|2</v>
      </c>
    </row>
    <row r="4" spans="1:8" x14ac:dyDescent="0.2">
      <c r="A4" s="2" t="s">
        <v>8</v>
      </c>
      <c r="B4" s="2" t="s">
        <v>9</v>
      </c>
      <c r="C4" s="2">
        <v>3</v>
      </c>
      <c r="D4" s="2" t="s">
        <v>71</v>
      </c>
      <c r="E4" s="2" t="s">
        <v>71</v>
      </c>
      <c r="F4" s="3" t="b">
        <f>TRUE()</f>
        <v>1</v>
      </c>
      <c r="G4" s="2" t="s">
        <v>75</v>
      </c>
      <c r="H4" s="2" t="str">
        <f t="shared" si="0"/>
        <v>gpt|threshold_small|3</v>
      </c>
    </row>
    <row r="5" spans="1:8" x14ac:dyDescent="0.2">
      <c r="A5" s="2" t="s">
        <v>8</v>
      </c>
      <c r="B5" s="2" t="s">
        <v>9</v>
      </c>
      <c r="C5" s="2">
        <v>4</v>
      </c>
      <c r="D5" s="2" t="s">
        <v>73</v>
      </c>
      <c r="E5" s="2" t="s">
        <v>73</v>
      </c>
      <c r="F5" s="3" t="b">
        <f>TRUE()</f>
        <v>1</v>
      </c>
      <c r="G5" s="2" t="s">
        <v>76</v>
      </c>
      <c r="H5" s="2" t="str">
        <f t="shared" si="0"/>
        <v>gpt|threshold_small|4</v>
      </c>
    </row>
    <row r="6" spans="1:8" x14ac:dyDescent="0.2">
      <c r="A6" s="2" t="s">
        <v>8</v>
      </c>
      <c r="B6" s="2" t="s">
        <v>9</v>
      </c>
      <c r="C6" s="2">
        <v>11</v>
      </c>
      <c r="D6" s="2" t="s">
        <v>71</v>
      </c>
      <c r="E6" s="2" t="s">
        <v>71</v>
      </c>
      <c r="F6" s="3" t="b">
        <f>TRUE()</f>
        <v>1</v>
      </c>
      <c r="G6" s="2" t="s">
        <v>77</v>
      </c>
      <c r="H6" s="2" t="str">
        <f t="shared" si="0"/>
        <v>gpt|threshold_small|11</v>
      </c>
    </row>
    <row r="7" spans="1:8" x14ac:dyDescent="0.2">
      <c r="A7" s="2" t="s">
        <v>8</v>
      </c>
      <c r="B7" s="2" t="s">
        <v>9</v>
      </c>
      <c r="C7" s="2">
        <v>12</v>
      </c>
      <c r="D7" s="2" t="s">
        <v>71</v>
      </c>
      <c r="E7" s="2" t="s">
        <v>73</v>
      </c>
      <c r="F7" s="4" t="b">
        <f>FALSE()</f>
        <v>0</v>
      </c>
      <c r="G7" s="2" t="s">
        <v>78</v>
      </c>
      <c r="H7" s="2" t="str">
        <f t="shared" si="0"/>
        <v>gpt|threshold_small|12</v>
      </c>
    </row>
    <row r="8" spans="1:8" x14ac:dyDescent="0.2">
      <c r="A8" s="2" t="s">
        <v>8</v>
      </c>
      <c r="B8" s="2" t="s">
        <v>9</v>
      </c>
      <c r="C8" s="2">
        <v>13</v>
      </c>
      <c r="D8" s="2" t="s">
        <v>73</v>
      </c>
      <c r="E8" s="2" t="s">
        <v>73</v>
      </c>
      <c r="F8" s="3" t="b">
        <f>TRUE()</f>
        <v>1</v>
      </c>
      <c r="G8" s="2" t="s">
        <v>79</v>
      </c>
      <c r="H8" s="2" t="str">
        <f t="shared" si="0"/>
        <v>gpt|threshold_small|13</v>
      </c>
    </row>
    <row r="9" spans="1:8" x14ac:dyDescent="0.2">
      <c r="A9" s="2" t="s">
        <v>8</v>
      </c>
      <c r="B9" s="2" t="s">
        <v>9</v>
      </c>
      <c r="C9" s="2">
        <v>14</v>
      </c>
      <c r="D9" s="2" t="s">
        <v>71</v>
      </c>
      <c r="E9" s="2" t="s">
        <v>80</v>
      </c>
      <c r="F9" s="4" t="b">
        <f>FALSE()</f>
        <v>0</v>
      </c>
      <c r="G9" s="2" t="s">
        <v>81</v>
      </c>
      <c r="H9" s="2" t="str">
        <f t="shared" si="0"/>
        <v>gpt|threshold_small|14</v>
      </c>
    </row>
    <row r="10" spans="1:8" x14ac:dyDescent="0.2">
      <c r="A10" s="2" t="s">
        <v>8</v>
      </c>
      <c r="B10" s="2" t="s">
        <v>9</v>
      </c>
      <c r="C10" s="2">
        <v>21</v>
      </c>
      <c r="D10" s="2" t="s">
        <v>71</v>
      </c>
      <c r="E10" s="2" t="s">
        <v>71</v>
      </c>
      <c r="F10" s="3" t="b">
        <f>TRUE()</f>
        <v>1</v>
      </c>
      <c r="G10" s="2" t="s">
        <v>82</v>
      </c>
      <c r="H10" s="2" t="str">
        <f t="shared" si="0"/>
        <v>gpt|threshold_small|21</v>
      </c>
    </row>
    <row r="11" spans="1:8" x14ac:dyDescent="0.2">
      <c r="A11" s="2" t="s">
        <v>8</v>
      </c>
      <c r="B11" s="2" t="s">
        <v>9</v>
      </c>
      <c r="C11" s="2">
        <v>22</v>
      </c>
      <c r="D11" s="2" t="s">
        <v>71</v>
      </c>
      <c r="E11" s="2" t="s">
        <v>80</v>
      </c>
      <c r="F11" s="4" t="b">
        <f>FALSE()</f>
        <v>0</v>
      </c>
      <c r="G11" s="2" t="s">
        <v>83</v>
      </c>
      <c r="H11" s="2" t="str">
        <f t="shared" si="0"/>
        <v>gpt|threshold_small|22</v>
      </c>
    </row>
    <row r="12" spans="1:8" x14ac:dyDescent="0.2">
      <c r="A12" s="2" t="s">
        <v>8</v>
      </c>
      <c r="B12" s="2" t="s">
        <v>9</v>
      </c>
      <c r="C12" s="2">
        <v>23</v>
      </c>
      <c r="D12" s="2" t="s">
        <v>71</v>
      </c>
      <c r="E12" s="2" t="s">
        <v>80</v>
      </c>
      <c r="F12" s="4" t="b">
        <f>FALSE()</f>
        <v>0</v>
      </c>
      <c r="G12" s="2" t="s">
        <v>84</v>
      </c>
      <c r="H12" s="2" t="str">
        <f t="shared" si="0"/>
        <v>gpt|threshold_small|23</v>
      </c>
    </row>
    <row r="13" spans="1:8" x14ac:dyDescent="0.2">
      <c r="A13" s="2" t="s">
        <v>8</v>
      </c>
      <c r="B13" s="2" t="s">
        <v>9</v>
      </c>
      <c r="C13" s="2">
        <v>24</v>
      </c>
      <c r="D13" s="2" t="s">
        <v>71</v>
      </c>
      <c r="E13" s="2" t="s">
        <v>80</v>
      </c>
      <c r="F13" s="4" t="b">
        <f>FALSE()</f>
        <v>0</v>
      </c>
      <c r="G13" s="2" t="s">
        <v>85</v>
      </c>
      <c r="H13" s="2" t="str">
        <f t="shared" si="0"/>
        <v>gpt|threshold_small|24</v>
      </c>
    </row>
    <row r="14" spans="1:8" x14ac:dyDescent="0.2">
      <c r="A14" s="2" t="s">
        <v>8</v>
      </c>
      <c r="B14" s="2" t="s">
        <v>9</v>
      </c>
      <c r="C14" s="2">
        <v>25</v>
      </c>
      <c r="D14" s="2" t="s">
        <v>71</v>
      </c>
      <c r="E14" s="2" t="s">
        <v>71</v>
      </c>
      <c r="F14" s="3" t="b">
        <f>TRUE()</f>
        <v>1</v>
      </c>
      <c r="G14" s="2" t="s">
        <v>86</v>
      </c>
      <c r="H14" s="2" t="str">
        <f t="shared" si="0"/>
        <v>gpt|threshold_small|25</v>
      </c>
    </row>
    <row r="15" spans="1:8" x14ac:dyDescent="0.2">
      <c r="A15" s="2" t="s">
        <v>8</v>
      </c>
      <c r="B15" s="2" t="s">
        <v>9</v>
      </c>
      <c r="C15" s="2">
        <v>26</v>
      </c>
      <c r="D15" s="2" t="s">
        <v>71</v>
      </c>
      <c r="E15" s="2" t="s">
        <v>80</v>
      </c>
      <c r="F15" s="4" t="b">
        <f>FALSE()</f>
        <v>0</v>
      </c>
      <c r="G15" s="2" t="s">
        <v>87</v>
      </c>
      <c r="H15" s="2" t="str">
        <f t="shared" si="0"/>
        <v>gpt|threshold_small|26</v>
      </c>
    </row>
    <row r="16" spans="1:8" x14ac:dyDescent="0.2">
      <c r="A16" s="2" t="s">
        <v>8</v>
      </c>
      <c r="B16" s="2" t="s">
        <v>9</v>
      </c>
      <c r="C16" s="2">
        <v>27</v>
      </c>
      <c r="D16" s="2" t="s">
        <v>71</v>
      </c>
      <c r="E16" s="2" t="s">
        <v>80</v>
      </c>
      <c r="F16" s="4" t="b">
        <f>FALSE()</f>
        <v>0</v>
      </c>
      <c r="G16" s="2" t="s">
        <v>88</v>
      </c>
      <c r="H16" s="2" t="str">
        <f t="shared" si="0"/>
        <v>gpt|threshold_small|27</v>
      </c>
    </row>
    <row r="17" spans="1:8" x14ac:dyDescent="0.2">
      <c r="A17" s="2" t="s">
        <v>8</v>
      </c>
      <c r="B17" s="2" t="s">
        <v>9</v>
      </c>
      <c r="C17" s="2">
        <v>28</v>
      </c>
      <c r="D17" s="2" t="s">
        <v>71</v>
      </c>
      <c r="E17" s="2" t="s">
        <v>80</v>
      </c>
      <c r="F17" s="4" t="b">
        <f>FALSE()</f>
        <v>0</v>
      </c>
      <c r="G17" s="2" t="s">
        <v>89</v>
      </c>
      <c r="H17" s="2" t="str">
        <f t="shared" si="0"/>
        <v>gpt|threshold_small|28</v>
      </c>
    </row>
    <row r="18" spans="1:8" x14ac:dyDescent="0.2">
      <c r="A18" s="2" t="s">
        <v>8</v>
      </c>
      <c r="B18" s="2" t="s">
        <v>9</v>
      </c>
      <c r="C18" s="2">
        <v>29</v>
      </c>
      <c r="D18" s="2" t="s">
        <v>71</v>
      </c>
      <c r="E18" s="2" t="s">
        <v>80</v>
      </c>
      <c r="F18" s="4" t="b">
        <f>FALSE()</f>
        <v>0</v>
      </c>
      <c r="G18" s="2" t="s">
        <v>90</v>
      </c>
      <c r="H18" s="2" t="str">
        <f t="shared" si="0"/>
        <v>gpt|threshold_small|29</v>
      </c>
    </row>
    <row r="19" spans="1:8" x14ac:dyDescent="0.2">
      <c r="A19" s="2" t="s">
        <v>8</v>
      </c>
      <c r="B19" s="2" t="s">
        <v>9</v>
      </c>
      <c r="C19" s="2">
        <v>31</v>
      </c>
      <c r="D19" s="2" t="s">
        <v>71</v>
      </c>
      <c r="E19" s="2" t="s">
        <v>71</v>
      </c>
      <c r="F19" s="3" t="b">
        <f>TRUE()</f>
        <v>1</v>
      </c>
      <c r="G19" s="2" t="s">
        <v>91</v>
      </c>
      <c r="H19" s="2" t="str">
        <f t="shared" si="0"/>
        <v>gpt|threshold_small|31</v>
      </c>
    </row>
    <row r="20" spans="1:8" x14ac:dyDescent="0.2">
      <c r="A20" s="2" t="s">
        <v>8</v>
      </c>
      <c r="B20" s="2" t="s">
        <v>9</v>
      </c>
      <c r="C20" s="2">
        <v>32</v>
      </c>
      <c r="D20" s="2" t="s">
        <v>71</v>
      </c>
      <c r="E20" s="2" t="s">
        <v>71</v>
      </c>
      <c r="F20" s="3" t="b">
        <f>TRUE()</f>
        <v>1</v>
      </c>
      <c r="G20" s="2" t="s">
        <v>92</v>
      </c>
      <c r="H20" s="2" t="str">
        <f t="shared" si="0"/>
        <v>gpt|threshold_small|32</v>
      </c>
    </row>
    <row r="21" spans="1:8" x14ac:dyDescent="0.2">
      <c r="A21" s="2" t="s">
        <v>8</v>
      </c>
      <c r="B21" s="2" t="s">
        <v>9</v>
      </c>
      <c r="C21" s="2">
        <v>41</v>
      </c>
      <c r="D21" s="2" t="s">
        <v>73</v>
      </c>
      <c r="E21" s="2" t="s">
        <v>73</v>
      </c>
      <c r="F21" s="3" t="b">
        <f>TRUE()</f>
        <v>1</v>
      </c>
      <c r="G21" s="2" t="s">
        <v>93</v>
      </c>
      <c r="H21" s="2" t="str">
        <f t="shared" si="0"/>
        <v>gpt|threshold_small|41</v>
      </c>
    </row>
    <row r="22" spans="1:8" x14ac:dyDescent="0.2">
      <c r="A22" s="2" t="s">
        <v>27</v>
      </c>
      <c r="B22" s="2" t="s">
        <v>9</v>
      </c>
      <c r="C22" s="2">
        <v>1</v>
      </c>
      <c r="D22" s="2" t="s">
        <v>71</v>
      </c>
      <c r="E22" s="2" t="s">
        <v>28</v>
      </c>
      <c r="F22" s="4" t="b">
        <f>FALSE()</f>
        <v>0</v>
      </c>
      <c r="G22" s="2" t="s">
        <v>72</v>
      </c>
      <c r="H22" s="2" t="str">
        <f t="shared" si="0"/>
        <v>claude|threshold_small|1</v>
      </c>
    </row>
    <row r="23" spans="1:8" x14ac:dyDescent="0.2">
      <c r="A23" s="2" t="s">
        <v>27</v>
      </c>
      <c r="B23" s="2" t="s">
        <v>9</v>
      </c>
      <c r="C23" s="2">
        <v>2</v>
      </c>
      <c r="D23" s="2" t="s">
        <v>71</v>
      </c>
      <c r="E23" s="2" t="s">
        <v>28</v>
      </c>
      <c r="F23" s="4" t="b">
        <f>FALSE()</f>
        <v>0</v>
      </c>
      <c r="G23" s="2" t="s">
        <v>74</v>
      </c>
      <c r="H23" s="2" t="str">
        <f t="shared" si="0"/>
        <v>claude|threshold_small|2</v>
      </c>
    </row>
    <row r="24" spans="1:8" x14ac:dyDescent="0.2">
      <c r="A24" s="2" t="s">
        <v>27</v>
      </c>
      <c r="B24" s="2" t="s">
        <v>9</v>
      </c>
      <c r="C24" s="2">
        <v>3</v>
      </c>
      <c r="D24" s="2" t="s">
        <v>71</v>
      </c>
      <c r="E24" s="2" t="s">
        <v>28</v>
      </c>
      <c r="F24" s="4" t="b">
        <f>FALSE()</f>
        <v>0</v>
      </c>
      <c r="G24" s="2" t="s">
        <v>75</v>
      </c>
      <c r="H24" s="2" t="str">
        <f t="shared" si="0"/>
        <v>claude|threshold_small|3</v>
      </c>
    </row>
    <row r="25" spans="1:8" x14ac:dyDescent="0.2">
      <c r="A25" s="2" t="s">
        <v>27</v>
      </c>
      <c r="B25" s="2" t="s">
        <v>9</v>
      </c>
      <c r="C25" s="2">
        <v>4</v>
      </c>
      <c r="D25" s="2" t="s">
        <v>73</v>
      </c>
      <c r="E25" s="2" t="s">
        <v>28</v>
      </c>
      <c r="F25" s="4" t="b">
        <f>FALSE()</f>
        <v>0</v>
      </c>
      <c r="G25" s="2" t="s">
        <v>76</v>
      </c>
      <c r="H25" s="2" t="str">
        <f t="shared" si="0"/>
        <v>claude|threshold_small|4</v>
      </c>
    </row>
    <row r="26" spans="1:8" x14ac:dyDescent="0.2">
      <c r="A26" s="2" t="s">
        <v>27</v>
      </c>
      <c r="B26" s="2" t="s">
        <v>9</v>
      </c>
      <c r="C26" s="2">
        <v>11</v>
      </c>
      <c r="D26" s="2" t="s">
        <v>71</v>
      </c>
      <c r="E26" s="2" t="s">
        <v>28</v>
      </c>
      <c r="F26" s="4" t="b">
        <f>FALSE()</f>
        <v>0</v>
      </c>
      <c r="G26" s="2" t="s">
        <v>77</v>
      </c>
      <c r="H26" s="2" t="str">
        <f t="shared" si="0"/>
        <v>claude|threshold_small|11</v>
      </c>
    </row>
    <row r="27" spans="1:8" x14ac:dyDescent="0.2">
      <c r="A27" s="2" t="s">
        <v>27</v>
      </c>
      <c r="B27" s="2" t="s">
        <v>9</v>
      </c>
      <c r="C27" s="2">
        <v>12</v>
      </c>
      <c r="D27" s="2" t="s">
        <v>71</v>
      </c>
      <c r="E27" s="2" t="s">
        <v>28</v>
      </c>
      <c r="F27" s="4" t="b">
        <f>FALSE()</f>
        <v>0</v>
      </c>
      <c r="G27" s="2" t="s">
        <v>78</v>
      </c>
      <c r="H27" s="2" t="str">
        <f t="shared" si="0"/>
        <v>claude|threshold_small|12</v>
      </c>
    </row>
    <row r="28" spans="1:8" x14ac:dyDescent="0.2">
      <c r="A28" s="2" t="s">
        <v>27</v>
      </c>
      <c r="B28" s="2" t="s">
        <v>9</v>
      </c>
      <c r="C28" s="2">
        <v>13</v>
      </c>
      <c r="D28" s="2" t="s">
        <v>73</v>
      </c>
      <c r="E28" s="2" t="s">
        <v>28</v>
      </c>
      <c r="F28" s="4" t="b">
        <f>FALSE()</f>
        <v>0</v>
      </c>
      <c r="G28" s="2" t="s">
        <v>79</v>
      </c>
      <c r="H28" s="2" t="str">
        <f t="shared" si="0"/>
        <v>claude|threshold_small|13</v>
      </c>
    </row>
    <row r="29" spans="1:8" x14ac:dyDescent="0.2">
      <c r="A29" s="2" t="s">
        <v>27</v>
      </c>
      <c r="B29" s="2" t="s">
        <v>9</v>
      </c>
      <c r="C29" s="2">
        <v>14</v>
      </c>
      <c r="D29" s="2" t="s">
        <v>71</v>
      </c>
      <c r="E29" s="2" t="s">
        <v>28</v>
      </c>
      <c r="F29" s="4" t="b">
        <f>FALSE()</f>
        <v>0</v>
      </c>
      <c r="G29" s="2" t="s">
        <v>81</v>
      </c>
      <c r="H29" s="2" t="str">
        <f t="shared" si="0"/>
        <v>claude|threshold_small|14</v>
      </c>
    </row>
    <row r="30" spans="1:8" x14ac:dyDescent="0.2">
      <c r="A30" s="2" t="s">
        <v>27</v>
      </c>
      <c r="B30" s="2" t="s">
        <v>9</v>
      </c>
      <c r="C30" s="2">
        <v>21</v>
      </c>
      <c r="D30" s="2" t="s">
        <v>71</v>
      </c>
      <c r="E30" s="2" t="s">
        <v>28</v>
      </c>
      <c r="F30" s="4" t="b">
        <f>FALSE()</f>
        <v>0</v>
      </c>
      <c r="G30" s="2" t="s">
        <v>82</v>
      </c>
      <c r="H30" s="2" t="str">
        <f t="shared" si="0"/>
        <v>claude|threshold_small|21</v>
      </c>
    </row>
    <row r="31" spans="1:8" x14ac:dyDescent="0.2">
      <c r="A31" s="2" t="s">
        <v>27</v>
      </c>
      <c r="B31" s="2" t="s">
        <v>9</v>
      </c>
      <c r="C31" s="2">
        <v>22</v>
      </c>
      <c r="D31" s="2" t="s">
        <v>71</v>
      </c>
      <c r="E31" s="2" t="s">
        <v>28</v>
      </c>
      <c r="F31" s="4" t="b">
        <f>FALSE()</f>
        <v>0</v>
      </c>
      <c r="G31" s="2" t="s">
        <v>83</v>
      </c>
      <c r="H31" s="2" t="str">
        <f t="shared" si="0"/>
        <v>claude|threshold_small|22</v>
      </c>
    </row>
    <row r="32" spans="1:8" x14ac:dyDescent="0.2">
      <c r="A32" s="2" t="s">
        <v>27</v>
      </c>
      <c r="B32" s="2" t="s">
        <v>9</v>
      </c>
      <c r="C32" s="2">
        <v>23</v>
      </c>
      <c r="D32" s="2" t="s">
        <v>71</v>
      </c>
      <c r="E32" s="2" t="s">
        <v>28</v>
      </c>
      <c r="F32" s="4" t="b">
        <f>FALSE()</f>
        <v>0</v>
      </c>
      <c r="G32" s="2" t="s">
        <v>84</v>
      </c>
      <c r="H32" s="2" t="str">
        <f t="shared" si="0"/>
        <v>claude|threshold_small|23</v>
      </c>
    </row>
    <row r="33" spans="1:8" x14ac:dyDescent="0.2">
      <c r="A33" s="2" t="s">
        <v>27</v>
      </c>
      <c r="B33" s="2" t="s">
        <v>9</v>
      </c>
      <c r="C33" s="2">
        <v>24</v>
      </c>
      <c r="D33" s="2" t="s">
        <v>71</v>
      </c>
      <c r="E33" s="2" t="s">
        <v>28</v>
      </c>
      <c r="F33" s="4" t="b">
        <f>FALSE()</f>
        <v>0</v>
      </c>
      <c r="G33" s="2" t="s">
        <v>85</v>
      </c>
      <c r="H33" s="2" t="str">
        <f t="shared" si="0"/>
        <v>claude|threshold_small|24</v>
      </c>
    </row>
    <row r="34" spans="1:8" x14ac:dyDescent="0.2">
      <c r="A34" s="2" t="s">
        <v>27</v>
      </c>
      <c r="B34" s="2" t="s">
        <v>9</v>
      </c>
      <c r="C34" s="2">
        <v>25</v>
      </c>
      <c r="D34" s="2" t="s">
        <v>71</v>
      </c>
      <c r="E34" s="2" t="s">
        <v>28</v>
      </c>
      <c r="F34" s="4" t="b">
        <f>FALSE()</f>
        <v>0</v>
      </c>
      <c r="G34" s="2" t="s">
        <v>86</v>
      </c>
      <c r="H34" s="2" t="str">
        <f t="shared" si="0"/>
        <v>claude|threshold_small|25</v>
      </c>
    </row>
    <row r="35" spans="1:8" x14ac:dyDescent="0.2">
      <c r="A35" s="2" t="s">
        <v>27</v>
      </c>
      <c r="B35" s="2" t="s">
        <v>9</v>
      </c>
      <c r="C35" s="2">
        <v>26</v>
      </c>
      <c r="D35" s="2" t="s">
        <v>71</v>
      </c>
      <c r="E35" s="2" t="s">
        <v>28</v>
      </c>
      <c r="F35" s="4" t="b">
        <f>FALSE()</f>
        <v>0</v>
      </c>
      <c r="G35" s="2" t="s">
        <v>87</v>
      </c>
      <c r="H35" s="2" t="str">
        <f t="shared" si="0"/>
        <v>claude|threshold_small|26</v>
      </c>
    </row>
    <row r="36" spans="1:8" x14ac:dyDescent="0.2">
      <c r="A36" s="2" t="s">
        <v>27</v>
      </c>
      <c r="B36" s="2" t="s">
        <v>9</v>
      </c>
      <c r="C36" s="2">
        <v>27</v>
      </c>
      <c r="D36" s="2" t="s">
        <v>71</v>
      </c>
      <c r="E36" s="2" t="s">
        <v>28</v>
      </c>
      <c r="F36" s="4" t="b">
        <f>FALSE()</f>
        <v>0</v>
      </c>
      <c r="G36" s="2" t="s">
        <v>88</v>
      </c>
      <c r="H36" s="2" t="str">
        <f t="shared" si="0"/>
        <v>claude|threshold_small|27</v>
      </c>
    </row>
    <row r="37" spans="1:8" x14ac:dyDescent="0.2">
      <c r="A37" s="2" t="s">
        <v>27</v>
      </c>
      <c r="B37" s="2" t="s">
        <v>9</v>
      </c>
      <c r="C37" s="2">
        <v>28</v>
      </c>
      <c r="D37" s="2" t="s">
        <v>71</v>
      </c>
      <c r="E37" s="2" t="s">
        <v>28</v>
      </c>
      <c r="F37" s="4" t="b">
        <f>FALSE()</f>
        <v>0</v>
      </c>
      <c r="G37" s="2" t="s">
        <v>89</v>
      </c>
      <c r="H37" s="2" t="str">
        <f t="shared" si="0"/>
        <v>claude|threshold_small|28</v>
      </c>
    </row>
    <row r="38" spans="1:8" x14ac:dyDescent="0.2">
      <c r="A38" s="2" t="s">
        <v>27</v>
      </c>
      <c r="B38" s="2" t="s">
        <v>9</v>
      </c>
      <c r="C38" s="2">
        <v>29</v>
      </c>
      <c r="D38" s="2" t="s">
        <v>71</v>
      </c>
      <c r="E38" s="2" t="s">
        <v>28</v>
      </c>
      <c r="F38" s="4" t="b">
        <f>FALSE()</f>
        <v>0</v>
      </c>
      <c r="G38" s="2" t="s">
        <v>90</v>
      </c>
      <c r="H38" s="2" t="str">
        <f t="shared" si="0"/>
        <v>claude|threshold_small|29</v>
      </c>
    </row>
    <row r="39" spans="1:8" x14ac:dyDescent="0.2">
      <c r="A39" s="2" t="s">
        <v>27</v>
      </c>
      <c r="B39" s="2" t="s">
        <v>9</v>
      </c>
      <c r="C39" s="2">
        <v>31</v>
      </c>
      <c r="D39" s="2" t="s">
        <v>71</v>
      </c>
      <c r="E39" s="2" t="s">
        <v>28</v>
      </c>
      <c r="F39" s="4" t="b">
        <f>FALSE()</f>
        <v>0</v>
      </c>
      <c r="G39" s="2" t="s">
        <v>91</v>
      </c>
      <c r="H39" s="2" t="str">
        <f t="shared" si="0"/>
        <v>claude|threshold_small|31</v>
      </c>
    </row>
    <row r="40" spans="1:8" x14ac:dyDescent="0.2">
      <c r="A40" s="2" t="s">
        <v>27</v>
      </c>
      <c r="B40" s="2" t="s">
        <v>9</v>
      </c>
      <c r="C40" s="2">
        <v>32</v>
      </c>
      <c r="D40" s="2" t="s">
        <v>71</v>
      </c>
      <c r="E40" s="2" t="s">
        <v>28</v>
      </c>
      <c r="F40" s="4" t="b">
        <f>FALSE()</f>
        <v>0</v>
      </c>
      <c r="G40" s="2" t="s">
        <v>92</v>
      </c>
      <c r="H40" s="2" t="str">
        <f t="shared" si="0"/>
        <v>claude|threshold_small|32</v>
      </c>
    </row>
    <row r="41" spans="1:8" x14ac:dyDescent="0.2">
      <c r="A41" s="2" t="s">
        <v>27</v>
      </c>
      <c r="B41" s="2" t="s">
        <v>9</v>
      </c>
      <c r="C41" s="2">
        <v>41</v>
      </c>
      <c r="D41" s="2" t="s">
        <v>73</v>
      </c>
      <c r="E41" s="2" t="s">
        <v>28</v>
      </c>
      <c r="F41" s="4" t="b">
        <f>FALSE()</f>
        <v>0</v>
      </c>
      <c r="G41" s="2" t="s">
        <v>93</v>
      </c>
      <c r="H41" s="2" t="str">
        <f t="shared" si="0"/>
        <v>claude|threshold_small|41</v>
      </c>
    </row>
    <row r="42" spans="1:8" x14ac:dyDescent="0.2">
      <c r="A42" s="2" t="s">
        <v>29</v>
      </c>
      <c r="B42" s="2" t="s">
        <v>9</v>
      </c>
      <c r="C42" s="2">
        <v>1</v>
      </c>
      <c r="D42" s="2" t="s">
        <v>71</v>
      </c>
      <c r="E42" s="2" t="s">
        <v>71</v>
      </c>
      <c r="F42" s="3" t="b">
        <f>TRUE()</f>
        <v>1</v>
      </c>
      <c r="G42" s="2" t="s">
        <v>72</v>
      </c>
      <c r="H42" s="2" t="str">
        <f t="shared" si="0"/>
        <v>gemini|threshold_small|1</v>
      </c>
    </row>
    <row r="43" spans="1:8" x14ac:dyDescent="0.2">
      <c r="A43" s="2" t="s">
        <v>29</v>
      </c>
      <c r="B43" s="2" t="s">
        <v>9</v>
      </c>
      <c r="C43" s="2">
        <v>2</v>
      </c>
      <c r="D43" s="2" t="s">
        <v>71</v>
      </c>
      <c r="E43" s="2" t="s">
        <v>71</v>
      </c>
      <c r="F43" s="3" t="b">
        <f>TRUE()</f>
        <v>1</v>
      </c>
      <c r="G43" s="2" t="s">
        <v>74</v>
      </c>
      <c r="H43" s="2" t="str">
        <f t="shared" si="0"/>
        <v>gemini|threshold_small|2</v>
      </c>
    </row>
    <row r="44" spans="1:8" x14ac:dyDescent="0.2">
      <c r="A44" s="2" t="s">
        <v>29</v>
      </c>
      <c r="B44" s="2" t="s">
        <v>9</v>
      </c>
      <c r="C44" s="2">
        <v>3</v>
      </c>
      <c r="D44" s="2" t="s">
        <v>71</v>
      </c>
      <c r="E44" s="2" t="s">
        <v>71</v>
      </c>
      <c r="F44" s="3" t="b">
        <f>TRUE()</f>
        <v>1</v>
      </c>
      <c r="G44" s="2" t="s">
        <v>75</v>
      </c>
      <c r="H44" s="2" t="str">
        <f t="shared" si="0"/>
        <v>gemini|threshold_small|3</v>
      </c>
    </row>
    <row r="45" spans="1:8" x14ac:dyDescent="0.2">
      <c r="A45" s="2" t="s">
        <v>29</v>
      </c>
      <c r="B45" s="2" t="s">
        <v>9</v>
      </c>
      <c r="C45" s="2">
        <v>4</v>
      </c>
      <c r="D45" s="2" t="s">
        <v>73</v>
      </c>
      <c r="E45" s="2" t="s">
        <v>73</v>
      </c>
      <c r="F45" s="3" t="b">
        <f>TRUE()</f>
        <v>1</v>
      </c>
      <c r="G45" s="2" t="s">
        <v>76</v>
      </c>
      <c r="H45" s="2" t="str">
        <f t="shared" si="0"/>
        <v>gemini|threshold_small|4</v>
      </c>
    </row>
    <row r="46" spans="1:8" x14ac:dyDescent="0.2">
      <c r="A46" s="2" t="s">
        <v>29</v>
      </c>
      <c r="B46" s="2" t="s">
        <v>9</v>
      </c>
      <c r="C46" s="2">
        <v>11</v>
      </c>
      <c r="D46" s="2" t="s">
        <v>71</v>
      </c>
      <c r="E46" s="2" t="s">
        <v>73</v>
      </c>
      <c r="F46" s="4" t="b">
        <f>FALSE()</f>
        <v>0</v>
      </c>
      <c r="G46" s="2" t="s">
        <v>77</v>
      </c>
      <c r="H46" s="2" t="str">
        <f t="shared" si="0"/>
        <v>gemini|threshold_small|11</v>
      </c>
    </row>
    <row r="47" spans="1:8" x14ac:dyDescent="0.2">
      <c r="A47" s="2" t="s">
        <v>29</v>
      </c>
      <c r="B47" s="2" t="s">
        <v>9</v>
      </c>
      <c r="C47" s="2">
        <v>12</v>
      </c>
      <c r="D47" s="2" t="s">
        <v>71</v>
      </c>
      <c r="E47" s="2" t="s">
        <v>73</v>
      </c>
      <c r="F47" s="4" t="b">
        <f>FALSE()</f>
        <v>0</v>
      </c>
      <c r="G47" s="2" t="s">
        <v>78</v>
      </c>
      <c r="H47" s="2" t="str">
        <f t="shared" si="0"/>
        <v>gemini|threshold_small|12</v>
      </c>
    </row>
    <row r="48" spans="1:8" x14ac:dyDescent="0.2">
      <c r="A48" s="2" t="s">
        <v>29</v>
      </c>
      <c r="B48" s="2" t="s">
        <v>9</v>
      </c>
      <c r="C48" s="2">
        <v>13</v>
      </c>
      <c r="D48" s="2" t="s">
        <v>73</v>
      </c>
      <c r="E48" s="2" t="s">
        <v>73</v>
      </c>
      <c r="F48" s="3" t="b">
        <f>TRUE()</f>
        <v>1</v>
      </c>
      <c r="G48" s="2" t="s">
        <v>79</v>
      </c>
      <c r="H48" s="2" t="str">
        <f t="shared" si="0"/>
        <v>gemini|threshold_small|13</v>
      </c>
    </row>
    <row r="49" spans="1:8" x14ac:dyDescent="0.2">
      <c r="A49" s="2" t="s">
        <v>29</v>
      </c>
      <c r="B49" s="2" t="s">
        <v>9</v>
      </c>
      <c r="C49" s="2">
        <v>14</v>
      </c>
      <c r="D49" s="2" t="s">
        <v>71</v>
      </c>
      <c r="E49" s="2" t="s">
        <v>73</v>
      </c>
      <c r="F49" s="4" t="b">
        <f>FALSE()</f>
        <v>0</v>
      </c>
      <c r="G49" s="2" t="s">
        <v>81</v>
      </c>
      <c r="H49" s="2" t="str">
        <f t="shared" si="0"/>
        <v>gemini|threshold_small|14</v>
      </c>
    </row>
    <row r="50" spans="1:8" x14ac:dyDescent="0.2">
      <c r="A50" s="2" t="s">
        <v>29</v>
      </c>
      <c r="B50" s="2" t="s">
        <v>9</v>
      </c>
      <c r="C50" s="2">
        <v>21</v>
      </c>
      <c r="D50" s="2" t="s">
        <v>71</v>
      </c>
      <c r="E50" s="2" t="s">
        <v>71</v>
      </c>
      <c r="F50" s="3" t="b">
        <f>TRUE()</f>
        <v>1</v>
      </c>
      <c r="G50" s="2" t="s">
        <v>82</v>
      </c>
      <c r="H50" s="2" t="str">
        <f t="shared" si="0"/>
        <v>gemini|threshold_small|21</v>
      </c>
    </row>
    <row r="51" spans="1:8" x14ac:dyDescent="0.2">
      <c r="A51" s="2" t="s">
        <v>29</v>
      </c>
      <c r="B51" s="2" t="s">
        <v>9</v>
      </c>
      <c r="C51" s="2">
        <v>22</v>
      </c>
      <c r="D51" s="2" t="s">
        <v>71</v>
      </c>
      <c r="E51" s="2" t="s">
        <v>73</v>
      </c>
      <c r="F51" s="4" t="b">
        <f>FALSE()</f>
        <v>0</v>
      </c>
      <c r="G51" s="2" t="s">
        <v>83</v>
      </c>
      <c r="H51" s="2" t="str">
        <f t="shared" si="0"/>
        <v>gemini|threshold_small|22</v>
      </c>
    </row>
    <row r="52" spans="1:8" x14ac:dyDescent="0.2">
      <c r="A52" s="2" t="s">
        <v>29</v>
      </c>
      <c r="B52" s="2" t="s">
        <v>9</v>
      </c>
      <c r="C52" s="2">
        <v>23</v>
      </c>
      <c r="D52" s="2" t="s">
        <v>71</v>
      </c>
      <c r="E52" s="2" t="s">
        <v>80</v>
      </c>
      <c r="F52" s="4" t="b">
        <f>FALSE()</f>
        <v>0</v>
      </c>
      <c r="G52" s="2" t="s">
        <v>84</v>
      </c>
      <c r="H52" s="2" t="str">
        <f t="shared" si="0"/>
        <v>gemini|threshold_small|23</v>
      </c>
    </row>
    <row r="53" spans="1:8" x14ac:dyDescent="0.2">
      <c r="A53" s="2" t="s">
        <v>29</v>
      </c>
      <c r="B53" s="2" t="s">
        <v>9</v>
      </c>
      <c r="C53" s="2">
        <v>24</v>
      </c>
      <c r="D53" s="2" t="s">
        <v>71</v>
      </c>
      <c r="E53" s="2" t="s">
        <v>73</v>
      </c>
      <c r="F53" s="4" t="b">
        <f>FALSE()</f>
        <v>0</v>
      </c>
      <c r="G53" s="2" t="s">
        <v>85</v>
      </c>
      <c r="H53" s="2" t="str">
        <f t="shared" si="0"/>
        <v>gemini|threshold_small|24</v>
      </c>
    </row>
    <row r="54" spans="1:8" x14ac:dyDescent="0.2">
      <c r="A54" s="2" t="s">
        <v>29</v>
      </c>
      <c r="B54" s="2" t="s">
        <v>9</v>
      </c>
      <c r="C54" s="2">
        <v>25</v>
      </c>
      <c r="D54" s="2" t="s">
        <v>71</v>
      </c>
      <c r="E54" s="2" t="s">
        <v>71</v>
      </c>
      <c r="F54" s="3" t="b">
        <f>TRUE()</f>
        <v>1</v>
      </c>
      <c r="G54" s="2" t="s">
        <v>86</v>
      </c>
      <c r="H54" s="2" t="str">
        <f t="shared" si="0"/>
        <v>gemini|threshold_small|25</v>
      </c>
    </row>
    <row r="55" spans="1:8" x14ac:dyDescent="0.2">
      <c r="A55" s="2" t="s">
        <v>29</v>
      </c>
      <c r="B55" s="2" t="s">
        <v>9</v>
      </c>
      <c r="C55" s="2">
        <v>26</v>
      </c>
      <c r="D55" s="2" t="s">
        <v>71</v>
      </c>
      <c r="E55" s="2" t="s">
        <v>80</v>
      </c>
      <c r="F55" s="4" t="b">
        <f>FALSE()</f>
        <v>0</v>
      </c>
      <c r="G55" s="2" t="s">
        <v>87</v>
      </c>
      <c r="H55" s="2" t="str">
        <f t="shared" si="0"/>
        <v>gemini|threshold_small|26</v>
      </c>
    </row>
    <row r="56" spans="1:8" x14ac:dyDescent="0.2">
      <c r="A56" s="2" t="s">
        <v>29</v>
      </c>
      <c r="B56" s="2" t="s">
        <v>9</v>
      </c>
      <c r="C56" s="2">
        <v>27</v>
      </c>
      <c r="D56" s="2" t="s">
        <v>71</v>
      </c>
      <c r="E56" s="2" t="s">
        <v>80</v>
      </c>
      <c r="F56" s="4" t="b">
        <f>FALSE()</f>
        <v>0</v>
      </c>
      <c r="G56" s="2" t="s">
        <v>88</v>
      </c>
      <c r="H56" s="2" t="str">
        <f t="shared" si="0"/>
        <v>gemini|threshold_small|27</v>
      </c>
    </row>
    <row r="57" spans="1:8" x14ac:dyDescent="0.2">
      <c r="A57" s="2" t="s">
        <v>29</v>
      </c>
      <c r="B57" s="2" t="s">
        <v>9</v>
      </c>
      <c r="C57" s="2">
        <v>28</v>
      </c>
      <c r="D57" s="2" t="s">
        <v>71</v>
      </c>
      <c r="E57" s="2" t="s">
        <v>73</v>
      </c>
      <c r="F57" s="4" t="b">
        <f>FALSE()</f>
        <v>0</v>
      </c>
      <c r="G57" s="2" t="s">
        <v>89</v>
      </c>
      <c r="H57" s="2" t="str">
        <f t="shared" si="0"/>
        <v>gemini|threshold_small|28</v>
      </c>
    </row>
    <row r="58" spans="1:8" x14ac:dyDescent="0.2">
      <c r="A58" s="2" t="s">
        <v>29</v>
      </c>
      <c r="B58" s="2" t="s">
        <v>9</v>
      </c>
      <c r="C58" s="2">
        <v>29</v>
      </c>
      <c r="D58" s="2" t="s">
        <v>71</v>
      </c>
      <c r="E58" s="2" t="s">
        <v>80</v>
      </c>
      <c r="F58" s="4" t="b">
        <f>FALSE()</f>
        <v>0</v>
      </c>
      <c r="G58" s="2" t="s">
        <v>90</v>
      </c>
      <c r="H58" s="2" t="str">
        <f t="shared" si="0"/>
        <v>gemini|threshold_small|29</v>
      </c>
    </row>
    <row r="59" spans="1:8" x14ac:dyDescent="0.2">
      <c r="A59" s="2" t="s">
        <v>29</v>
      </c>
      <c r="B59" s="2" t="s">
        <v>9</v>
      </c>
      <c r="C59" s="2">
        <v>31</v>
      </c>
      <c r="D59" s="2" t="s">
        <v>71</v>
      </c>
      <c r="E59" s="2" t="s">
        <v>80</v>
      </c>
      <c r="F59" s="4" t="b">
        <f>FALSE()</f>
        <v>0</v>
      </c>
      <c r="G59" s="2" t="s">
        <v>91</v>
      </c>
      <c r="H59" s="2" t="str">
        <f t="shared" si="0"/>
        <v>gemini|threshold_small|31</v>
      </c>
    </row>
    <row r="60" spans="1:8" x14ac:dyDescent="0.2">
      <c r="A60" s="2" t="s">
        <v>29</v>
      </c>
      <c r="B60" s="2" t="s">
        <v>9</v>
      </c>
      <c r="C60" s="2">
        <v>32</v>
      </c>
      <c r="D60" s="2" t="s">
        <v>71</v>
      </c>
      <c r="E60" s="2" t="s">
        <v>71</v>
      </c>
      <c r="F60" s="3" t="b">
        <f>TRUE()</f>
        <v>1</v>
      </c>
      <c r="G60" s="2" t="s">
        <v>92</v>
      </c>
      <c r="H60" s="2" t="str">
        <f t="shared" si="0"/>
        <v>gemini|threshold_small|32</v>
      </c>
    </row>
    <row r="61" spans="1:8" x14ac:dyDescent="0.2">
      <c r="A61" s="2" t="s">
        <v>29</v>
      </c>
      <c r="B61" s="2" t="s">
        <v>9</v>
      </c>
      <c r="C61" s="2">
        <v>41</v>
      </c>
      <c r="D61" s="2" t="s">
        <v>73</v>
      </c>
      <c r="E61" s="2" t="s">
        <v>73</v>
      </c>
      <c r="F61" s="3" t="b">
        <f>TRUE()</f>
        <v>1</v>
      </c>
      <c r="G61" s="2" t="s">
        <v>93</v>
      </c>
      <c r="H61" s="2" t="str">
        <f t="shared" si="0"/>
        <v>gemini|threshold_small|41</v>
      </c>
    </row>
    <row r="62" spans="1:8" x14ac:dyDescent="0.2">
      <c r="A62" s="2" t="s">
        <v>30</v>
      </c>
      <c r="B62" s="2" t="s">
        <v>9</v>
      </c>
      <c r="C62" s="2">
        <v>1</v>
      </c>
      <c r="D62" s="2" t="s">
        <v>71</v>
      </c>
      <c r="E62" s="2" t="s">
        <v>28</v>
      </c>
      <c r="F62" s="4" t="b">
        <f>FALSE()</f>
        <v>0</v>
      </c>
      <c r="G62" s="2" t="s">
        <v>72</v>
      </c>
      <c r="H62" s="2" t="str">
        <f t="shared" si="0"/>
        <v>llama|threshold_small|1</v>
      </c>
    </row>
    <row r="63" spans="1:8" x14ac:dyDescent="0.2">
      <c r="A63" s="2" t="s">
        <v>30</v>
      </c>
      <c r="B63" s="2" t="s">
        <v>9</v>
      </c>
      <c r="C63" s="2">
        <v>2</v>
      </c>
      <c r="D63" s="2" t="s">
        <v>71</v>
      </c>
      <c r="E63" s="2" t="s">
        <v>28</v>
      </c>
      <c r="F63" s="4" t="b">
        <f>FALSE()</f>
        <v>0</v>
      </c>
      <c r="G63" s="2" t="s">
        <v>74</v>
      </c>
      <c r="H63" s="2" t="str">
        <f t="shared" si="0"/>
        <v>llama|threshold_small|2</v>
      </c>
    </row>
    <row r="64" spans="1:8" x14ac:dyDescent="0.2">
      <c r="A64" s="2" t="s">
        <v>30</v>
      </c>
      <c r="B64" s="2" t="s">
        <v>9</v>
      </c>
      <c r="C64" s="2">
        <v>3</v>
      </c>
      <c r="D64" s="2" t="s">
        <v>71</v>
      </c>
      <c r="E64" s="2" t="s">
        <v>28</v>
      </c>
      <c r="F64" s="4" t="b">
        <f>FALSE()</f>
        <v>0</v>
      </c>
      <c r="G64" s="2" t="s">
        <v>75</v>
      </c>
      <c r="H64" s="2" t="str">
        <f t="shared" si="0"/>
        <v>llama|threshold_small|3</v>
      </c>
    </row>
    <row r="65" spans="1:8" x14ac:dyDescent="0.2">
      <c r="A65" s="2" t="s">
        <v>30</v>
      </c>
      <c r="B65" s="2" t="s">
        <v>9</v>
      </c>
      <c r="C65" s="2">
        <v>4</v>
      </c>
      <c r="D65" s="2" t="s">
        <v>73</v>
      </c>
      <c r="E65" s="2" t="s">
        <v>28</v>
      </c>
      <c r="F65" s="4" t="b">
        <f>FALSE()</f>
        <v>0</v>
      </c>
      <c r="G65" s="2" t="s">
        <v>76</v>
      </c>
      <c r="H65" s="2" t="str">
        <f t="shared" si="0"/>
        <v>llama|threshold_small|4</v>
      </c>
    </row>
    <row r="66" spans="1:8" x14ac:dyDescent="0.2">
      <c r="A66" s="2" t="s">
        <v>30</v>
      </c>
      <c r="B66" s="2" t="s">
        <v>9</v>
      </c>
      <c r="C66" s="2">
        <v>11</v>
      </c>
      <c r="D66" s="2" t="s">
        <v>71</v>
      </c>
      <c r="E66" s="2" t="s">
        <v>28</v>
      </c>
      <c r="F66" s="4" t="b">
        <f>FALSE()</f>
        <v>0</v>
      </c>
      <c r="G66" s="2" t="s">
        <v>77</v>
      </c>
      <c r="H66" s="2" t="str">
        <f t="shared" ref="H66:H129" si="1">A66&amp;"|"&amp;B66&amp;"|"&amp;C66</f>
        <v>llama|threshold_small|11</v>
      </c>
    </row>
    <row r="67" spans="1:8" x14ac:dyDescent="0.2">
      <c r="A67" s="2" t="s">
        <v>30</v>
      </c>
      <c r="B67" s="2" t="s">
        <v>9</v>
      </c>
      <c r="C67" s="2">
        <v>12</v>
      </c>
      <c r="D67" s="2" t="s">
        <v>71</v>
      </c>
      <c r="E67" s="2" t="s">
        <v>28</v>
      </c>
      <c r="F67" s="4" t="b">
        <f>FALSE()</f>
        <v>0</v>
      </c>
      <c r="G67" s="2" t="s">
        <v>78</v>
      </c>
      <c r="H67" s="2" t="str">
        <f t="shared" si="1"/>
        <v>llama|threshold_small|12</v>
      </c>
    </row>
    <row r="68" spans="1:8" x14ac:dyDescent="0.2">
      <c r="A68" s="2" t="s">
        <v>30</v>
      </c>
      <c r="B68" s="2" t="s">
        <v>9</v>
      </c>
      <c r="C68" s="2">
        <v>13</v>
      </c>
      <c r="D68" s="2" t="s">
        <v>73</v>
      </c>
      <c r="E68" s="2" t="s">
        <v>28</v>
      </c>
      <c r="F68" s="4" t="b">
        <f>FALSE()</f>
        <v>0</v>
      </c>
      <c r="G68" s="2" t="s">
        <v>79</v>
      </c>
      <c r="H68" s="2" t="str">
        <f t="shared" si="1"/>
        <v>llama|threshold_small|13</v>
      </c>
    </row>
    <row r="69" spans="1:8" x14ac:dyDescent="0.2">
      <c r="A69" s="2" t="s">
        <v>30</v>
      </c>
      <c r="B69" s="2" t="s">
        <v>9</v>
      </c>
      <c r="C69" s="2">
        <v>14</v>
      </c>
      <c r="D69" s="2" t="s">
        <v>71</v>
      </c>
      <c r="E69" s="2" t="s">
        <v>28</v>
      </c>
      <c r="F69" s="4" t="b">
        <f>FALSE()</f>
        <v>0</v>
      </c>
      <c r="G69" s="2" t="s">
        <v>81</v>
      </c>
      <c r="H69" s="2" t="str">
        <f t="shared" si="1"/>
        <v>llama|threshold_small|14</v>
      </c>
    </row>
    <row r="70" spans="1:8" x14ac:dyDescent="0.2">
      <c r="A70" s="2" t="s">
        <v>30</v>
      </c>
      <c r="B70" s="2" t="s">
        <v>9</v>
      </c>
      <c r="C70" s="2">
        <v>21</v>
      </c>
      <c r="D70" s="2" t="s">
        <v>71</v>
      </c>
      <c r="E70" s="2" t="s">
        <v>28</v>
      </c>
      <c r="F70" s="4" t="b">
        <f>FALSE()</f>
        <v>0</v>
      </c>
      <c r="G70" s="2" t="s">
        <v>82</v>
      </c>
      <c r="H70" s="2" t="str">
        <f t="shared" si="1"/>
        <v>llama|threshold_small|21</v>
      </c>
    </row>
    <row r="71" spans="1:8" x14ac:dyDescent="0.2">
      <c r="A71" s="2" t="s">
        <v>30</v>
      </c>
      <c r="B71" s="2" t="s">
        <v>9</v>
      </c>
      <c r="C71" s="2">
        <v>22</v>
      </c>
      <c r="D71" s="2" t="s">
        <v>71</v>
      </c>
      <c r="E71" s="2" t="s">
        <v>28</v>
      </c>
      <c r="F71" s="4" t="b">
        <f>FALSE()</f>
        <v>0</v>
      </c>
      <c r="G71" s="2" t="s">
        <v>83</v>
      </c>
      <c r="H71" s="2" t="str">
        <f t="shared" si="1"/>
        <v>llama|threshold_small|22</v>
      </c>
    </row>
    <row r="72" spans="1:8" x14ac:dyDescent="0.2">
      <c r="A72" s="2" t="s">
        <v>30</v>
      </c>
      <c r="B72" s="2" t="s">
        <v>9</v>
      </c>
      <c r="C72" s="2">
        <v>23</v>
      </c>
      <c r="D72" s="2" t="s">
        <v>71</v>
      </c>
      <c r="E72" s="2" t="s">
        <v>28</v>
      </c>
      <c r="F72" s="4" t="b">
        <f>FALSE()</f>
        <v>0</v>
      </c>
      <c r="G72" s="2" t="s">
        <v>84</v>
      </c>
      <c r="H72" s="2" t="str">
        <f t="shared" si="1"/>
        <v>llama|threshold_small|23</v>
      </c>
    </row>
    <row r="73" spans="1:8" x14ac:dyDescent="0.2">
      <c r="A73" s="2" t="s">
        <v>30</v>
      </c>
      <c r="B73" s="2" t="s">
        <v>9</v>
      </c>
      <c r="C73" s="2">
        <v>24</v>
      </c>
      <c r="D73" s="2" t="s">
        <v>71</v>
      </c>
      <c r="E73" s="2" t="s">
        <v>28</v>
      </c>
      <c r="F73" s="4" t="b">
        <f>FALSE()</f>
        <v>0</v>
      </c>
      <c r="G73" s="2" t="s">
        <v>85</v>
      </c>
      <c r="H73" s="2" t="str">
        <f t="shared" si="1"/>
        <v>llama|threshold_small|24</v>
      </c>
    </row>
    <row r="74" spans="1:8" x14ac:dyDescent="0.2">
      <c r="A74" s="2" t="s">
        <v>30</v>
      </c>
      <c r="B74" s="2" t="s">
        <v>9</v>
      </c>
      <c r="C74" s="2">
        <v>25</v>
      </c>
      <c r="D74" s="2" t="s">
        <v>71</v>
      </c>
      <c r="E74" s="2" t="s">
        <v>28</v>
      </c>
      <c r="F74" s="4" t="b">
        <f>FALSE()</f>
        <v>0</v>
      </c>
      <c r="G74" s="2" t="s">
        <v>86</v>
      </c>
      <c r="H74" s="2" t="str">
        <f t="shared" si="1"/>
        <v>llama|threshold_small|25</v>
      </c>
    </row>
    <row r="75" spans="1:8" x14ac:dyDescent="0.2">
      <c r="A75" s="2" t="s">
        <v>30</v>
      </c>
      <c r="B75" s="2" t="s">
        <v>9</v>
      </c>
      <c r="C75" s="2">
        <v>26</v>
      </c>
      <c r="D75" s="2" t="s">
        <v>71</v>
      </c>
      <c r="E75" s="2" t="s">
        <v>28</v>
      </c>
      <c r="F75" s="4" t="b">
        <f>FALSE()</f>
        <v>0</v>
      </c>
      <c r="G75" s="2" t="s">
        <v>87</v>
      </c>
      <c r="H75" s="2" t="str">
        <f t="shared" si="1"/>
        <v>llama|threshold_small|26</v>
      </c>
    </row>
    <row r="76" spans="1:8" x14ac:dyDescent="0.2">
      <c r="A76" s="2" t="s">
        <v>30</v>
      </c>
      <c r="B76" s="2" t="s">
        <v>9</v>
      </c>
      <c r="C76" s="2">
        <v>27</v>
      </c>
      <c r="D76" s="2" t="s">
        <v>71</v>
      </c>
      <c r="E76" s="2" t="s">
        <v>28</v>
      </c>
      <c r="F76" s="4" t="b">
        <f>FALSE()</f>
        <v>0</v>
      </c>
      <c r="G76" s="2" t="s">
        <v>88</v>
      </c>
      <c r="H76" s="2" t="str">
        <f t="shared" si="1"/>
        <v>llama|threshold_small|27</v>
      </c>
    </row>
    <row r="77" spans="1:8" x14ac:dyDescent="0.2">
      <c r="A77" s="2" t="s">
        <v>30</v>
      </c>
      <c r="B77" s="2" t="s">
        <v>9</v>
      </c>
      <c r="C77" s="2">
        <v>28</v>
      </c>
      <c r="D77" s="2" t="s">
        <v>71</v>
      </c>
      <c r="E77" s="2" t="s">
        <v>28</v>
      </c>
      <c r="F77" s="4" t="b">
        <f>FALSE()</f>
        <v>0</v>
      </c>
      <c r="G77" s="2" t="s">
        <v>89</v>
      </c>
      <c r="H77" s="2" t="str">
        <f t="shared" si="1"/>
        <v>llama|threshold_small|28</v>
      </c>
    </row>
    <row r="78" spans="1:8" x14ac:dyDescent="0.2">
      <c r="A78" s="2" t="s">
        <v>30</v>
      </c>
      <c r="B78" s="2" t="s">
        <v>9</v>
      </c>
      <c r="C78" s="2">
        <v>29</v>
      </c>
      <c r="D78" s="2" t="s">
        <v>71</v>
      </c>
      <c r="E78" s="2" t="s">
        <v>28</v>
      </c>
      <c r="F78" s="4" t="b">
        <f>FALSE()</f>
        <v>0</v>
      </c>
      <c r="G78" s="2" t="s">
        <v>90</v>
      </c>
      <c r="H78" s="2" t="str">
        <f t="shared" si="1"/>
        <v>llama|threshold_small|29</v>
      </c>
    </row>
    <row r="79" spans="1:8" x14ac:dyDescent="0.2">
      <c r="A79" s="2" t="s">
        <v>30</v>
      </c>
      <c r="B79" s="2" t="s">
        <v>9</v>
      </c>
      <c r="C79" s="2">
        <v>31</v>
      </c>
      <c r="D79" s="2" t="s">
        <v>71</v>
      </c>
      <c r="E79" s="2" t="s">
        <v>28</v>
      </c>
      <c r="F79" s="4" t="b">
        <f>FALSE()</f>
        <v>0</v>
      </c>
      <c r="G79" s="2" t="s">
        <v>91</v>
      </c>
      <c r="H79" s="2" t="str">
        <f t="shared" si="1"/>
        <v>llama|threshold_small|31</v>
      </c>
    </row>
    <row r="80" spans="1:8" x14ac:dyDescent="0.2">
      <c r="A80" s="2" t="s">
        <v>30</v>
      </c>
      <c r="B80" s="2" t="s">
        <v>9</v>
      </c>
      <c r="C80" s="2">
        <v>32</v>
      </c>
      <c r="D80" s="2" t="s">
        <v>71</v>
      </c>
      <c r="E80" s="2" t="s">
        <v>28</v>
      </c>
      <c r="F80" s="4" t="b">
        <f>FALSE()</f>
        <v>0</v>
      </c>
      <c r="G80" s="2" t="s">
        <v>92</v>
      </c>
      <c r="H80" s="2" t="str">
        <f t="shared" si="1"/>
        <v>llama|threshold_small|32</v>
      </c>
    </row>
    <row r="81" spans="1:8" x14ac:dyDescent="0.2">
      <c r="A81" s="2" t="s">
        <v>30</v>
      </c>
      <c r="B81" s="2" t="s">
        <v>9</v>
      </c>
      <c r="C81" s="2">
        <v>41</v>
      </c>
      <c r="D81" s="2" t="s">
        <v>73</v>
      </c>
      <c r="E81" s="2" t="s">
        <v>28</v>
      </c>
      <c r="F81" s="4" t="b">
        <f>FALSE()</f>
        <v>0</v>
      </c>
      <c r="G81" s="2" t="s">
        <v>93</v>
      </c>
      <c r="H81" s="2" t="str">
        <f t="shared" si="1"/>
        <v>llama|threshold_small|41</v>
      </c>
    </row>
    <row r="82" spans="1:8" x14ac:dyDescent="0.2">
      <c r="A82" s="2" t="s">
        <v>8</v>
      </c>
      <c r="B82" s="2" t="s">
        <v>31</v>
      </c>
      <c r="C82" s="2">
        <v>1</v>
      </c>
      <c r="D82" s="2" t="s">
        <v>71</v>
      </c>
      <c r="E82" s="2" t="s">
        <v>71</v>
      </c>
      <c r="F82" s="3" t="b">
        <f>TRUE()</f>
        <v>1</v>
      </c>
      <c r="G82" s="2" t="s">
        <v>72</v>
      </c>
      <c r="H82" s="2" t="str">
        <f t="shared" si="1"/>
        <v>gpt|threshold_large|1</v>
      </c>
    </row>
    <row r="83" spans="1:8" x14ac:dyDescent="0.2">
      <c r="A83" s="2" t="s">
        <v>8</v>
      </c>
      <c r="B83" s="2" t="s">
        <v>31</v>
      </c>
      <c r="C83" s="2">
        <v>2</v>
      </c>
      <c r="D83" s="2" t="s">
        <v>71</v>
      </c>
      <c r="E83" s="2" t="s">
        <v>73</v>
      </c>
      <c r="F83" s="4" t="b">
        <f>FALSE()</f>
        <v>0</v>
      </c>
      <c r="G83" s="2" t="s">
        <v>74</v>
      </c>
      <c r="H83" s="2" t="str">
        <f t="shared" si="1"/>
        <v>gpt|threshold_large|2</v>
      </c>
    </row>
    <row r="84" spans="1:8" x14ac:dyDescent="0.2">
      <c r="A84" s="2" t="s">
        <v>8</v>
      </c>
      <c r="B84" s="2" t="s">
        <v>31</v>
      </c>
      <c r="C84" s="2">
        <v>3</v>
      </c>
      <c r="D84" s="2" t="s">
        <v>71</v>
      </c>
      <c r="E84" s="2" t="s">
        <v>71</v>
      </c>
      <c r="F84" s="3" t="b">
        <f>TRUE()</f>
        <v>1</v>
      </c>
      <c r="G84" s="2" t="s">
        <v>75</v>
      </c>
      <c r="H84" s="2" t="str">
        <f t="shared" si="1"/>
        <v>gpt|threshold_large|3</v>
      </c>
    </row>
    <row r="85" spans="1:8" x14ac:dyDescent="0.2">
      <c r="A85" s="2" t="s">
        <v>8</v>
      </c>
      <c r="B85" s="2" t="s">
        <v>31</v>
      </c>
      <c r="C85" s="2">
        <v>4</v>
      </c>
      <c r="D85" s="2" t="s">
        <v>73</v>
      </c>
      <c r="E85" s="2" t="s">
        <v>73</v>
      </c>
      <c r="F85" s="3" t="b">
        <f>TRUE()</f>
        <v>1</v>
      </c>
      <c r="G85" s="2" t="s">
        <v>76</v>
      </c>
      <c r="H85" s="2" t="str">
        <f t="shared" si="1"/>
        <v>gpt|threshold_large|4</v>
      </c>
    </row>
    <row r="86" spans="1:8" x14ac:dyDescent="0.2">
      <c r="A86" s="2" t="s">
        <v>8</v>
      </c>
      <c r="B86" s="2" t="s">
        <v>31</v>
      </c>
      <c r="C86" s="2">
        <v>11</v>
      </c>
      <c r="D86" s="2" t="s">
        <v>71</v>
      </c>
      <c r="E86" s="2" t="s">
        <v>71</v>
      </c>
      <c r="F86" s="3" t="b">
        <f>TRUE()</f>
        <v>1</v>
      </c>
      <c r="G86" s="2" t="s">
        <v>77</v>
      </c>
      <c r="H86" s="2" t="str">
        <f t="shared" si="1"/>
        <v>gpt|threshold_large|11</v>
      </c>
    </row>
    <row r="87" spans="1:8" x14ac:dyDescent="0.2">
      <c r="A87" s="2" t="s">
        <v>8</v>
      </c>
      <c r="B87" s="2" t="s">
        <v>31</v>
      </c>
      <c r="C87" s="2">
        <v>12</v>
      </c>
      <c r="D87" s="2" t="s">
        <v>71</v>
      </c>
      <c r="E87" s="2" t="s">
        <v>73</v>
      </c>
      <c r="F87" s="4" t="b">
        <f>FALSE()</f>
        <v>0</v>
      </c>
      <c r="G87" s="2" t="s">
        <v>78</v>
      </c>
      <c r="H87" s="2" t="str">
        <f t="shared" si="1"/>
        <v>gpt|threshold_large|12</v>
      </c>
    </row>
    <row r="88" spans="1:8" x14ac:dyDescent="0.2">
      <c r="A88" s="2" t="s">
        <v>8</v>
      </c>
      <c r="B88" s="2" t="s">
        <v>31</v>
      </c>
      <c r="C88" s="2">
        <v>13</v>
      </c>
      <c r="D88" s="2" t="s">
        <v>73</v>
      </c>
      <c r="E88" s="2" t="s">
        <v>73</v>
      </c>
      <c r="F88" s="3" t="b">
        <f>TRUE()</f>
        <v>1</v>
      </c>
      <c r="G88" s="2" t="s">
        <v>79</v>
      </c>
      <c r="H88" s="2" t="str">
        <f t="shared" si="1"/>
        <v>gpt|threshold_large|13</v>
      </c>
    </row>
    <row r="89" spans="1:8" x14ac:dyDescent="0.2">
      <c r="A89" s="2" t="s">
        <v>8</v>
      </c>
      <c r="B89" s="2" t="s">
        <v>31</v>
      </c>
      <c r="C89" s="2">
        <v>14</v>
      </c>
      <c r="D89" s="2" t="s">
        <v>71</v>
      </c>
      <c r="E89" s="2" t="s">
        <v>71</v>
      </c>
      <c r="F89" s="3" t="b">
        <f>TRUE()</f>
        <v>1</v>
      </c>
      <c r="G89" s="2" t="s">
        <v>81</v>
      </c>
      <c r="H89" s="2" t="str">
        <f t="shared" si="1"/>
        <v>gpt|threshold_large|14</v>
      </c>
    </row>
    <row r="90" spans="1:8" x14ac:dyDescent="0.2">
      <c r="A90" s="2" t="s">
        <v>8</v>
      </c>
      <c r="B90" s="2" t="s">
        <v>31</v>
      </c>
      <c r="C90" s="2">
        <v>21</v>
      </c>
      <c r="D90" s="2" t="s">
        <v>71</v>
      </c>
      <c r="E90" s="2" t="s">
        <v>71</v>
      </c>
      <c r="F90" s="3" t="b">
        <f>TRUE()</f>
        <v>1</v>
      </c>
      <c r="G90" s="2" t="s">
        <v>82</v>
      </c>
      <c r="H90" s="2" t="str">
        <f t="shared" si="1"/>
        <v>gpt|threshold_large|21</v>
      </c>
    </row>
    <row r="91" spans="1:8" x14ac:dyDescent="0.2">
      <c r="A91" s="2" t="s">
        <v>8</v>
      </c>
      <c r="B91" s="2" t="s">
        <v>31</v>
      </c>
      <c r="C91" s="2">
        <v>22</v>
      </c>
      <c r="D91" s="2" t="s">
        <v>71</v>
      </c>
      <c r="E91" s="2" t="s">
        <v>71</v>
      </c>
      <c r="F91" s="3" t="b">
        <f>TRUE()</f>
        <v>1</v>
      </c>
      <c r="G91" s="2" t="s">
        <v>83</v>
      </c>
      <c r="H91" s="2" t="str">
        <f t="shared" si="1"/>
        <v>gpt|threshold_large|22</v>
      </c>
    </row>
    <row r="92" spans="1:8" x14ac:dyDescent="0.2">
      <c r="A92" s="2" t="s">
        <v>8</v>
      </c>
      <c r="B92" s="2" t="s">
        <v>31</v>
      </c>
      <c r="C92" s="2">
        <v>23</v>
      </c>
      <c r="D92" s="2" t="s">
        <v>71</v>
      </c>
      <c r="E92" s="2" t="s">
        <v>71</v>
      </c>
      <c r="F92" s="3" t="b">
        <f>TRUE()</f>
        <v>1</v>
      </c>
      <c r="G92" s="2" t="s">
        <v>84</v>
      </c>
      <c r="H92" s="2" t="str">
        <f t="shared" si="1"/>
        <v>gpt|threshold_large|23</v>
      </c>
    </row>
    <row r="93" spans="1:8" x14ac:dyDescent="0.2">
      <c r="A93" s="2" t="s">
        <v>8</v>
      </c>
      <c r="B93" s="2" t="s">
        <v>31</v>
      </c>
      <c r="C93" s="2">
        <v>24</v>
      </c>
      <c r="D93" s="2" t="s">
        <v>71</v>
      </c>
      <c r="E93" s="2" t="s">
        <v>71</v>
      </c>
      <c r="F93" s="3" t="b">
        <f>TRUE()</f>
        <v>1</v>
      </c>
      <c r="G93" s="2" t="s">
        <v>85</v>
      </c>
      <c r="H93" s="2" t="str">
        <f t="shared" si="1"/>
        <v>gpt|threshold_large|24</v>
      </c>
    </row>
    <row r="94" spans="1:8" x14ac:dyDescent="0.2">
      <c r="A94" s="2" t="s">
        <v>8</v>
      </c>
      <c r="B94" s="2" t="s">
        <v>31</v>
      </c>
      <c r="C94" s="2">
        <v>25</v>
      </c>
      <c r="D94" s="2" t="s">
        <v>71</v>
      </c>
      <c r="E94" s="2" t="s">
        <v>71</v>
      </c>
      <c r="F94" s="3" t="b">
        <f>TRUE()</f>
        <v>1</v>
      </c>
      <c r="G94" s="2" t="s">
        <v>86</v>
      </c>
      <c r="H94" s="2" t="str">
        <f t="shared" si="1"/>
        <v>gpt|threshold_large|25</v>
      </c>
    </row>
    <row r="95" spans="1:8" x14ac:dyDescent="0.2">
      <c r="A95" s="2" t="s">
        <v>8</v>
      </c>
      <c r="B95" s="2" t="s">
        <v>31</v>
      </c>
      <c r="C95" s="2">
        <v>26</v>
      </c>
      <c r="D95" s="2" t="s">
        <v>71</v>
      </c>
      <c r="E95" s="2" t="s">
        <v>71</v>
      </c>
      <c r="F95" s="3" t="b">
        <f>TRUE()</f>
        <v>1</v>
      </c>
      <c r="G95" s="2" t="s">
        <v>87</v>
      </c>
      <c r="H95" s="2" t="str">
        <f t="shared" si="1"/>
        <v>gpt|threshold_large|26</v>
      </c>
    </row>
    <row r="96" spans="1:8" x14ac:dyDescent="0.2">
      <c r="A96" s="2" t="s">
        <v>8</v>
      </c>
      <c r="B96" s="2" t="s">
        <v>31</v>
      </c>
      <c r="C96" s="2">
        <v>27</v>
      </c>
      <c r="D96" s="2" t="s">
        <v>71</v>
      </c>
      <c r="E96" s="2" t="s">
        <v>80</v>
      </c>
      <c r="F96" s="4" t="b">
        <f>FALSE()</f>
        <v>0</v>
      </c>
      <c r="G96" s="2" t="s">
        <v>88</v>
      </c>
      <c r="H96" s="2" t="str">
        <f t="shared" si="1"/>
        <v>gpt|threshold_large|27</v>
      </c>
    </row>
    <row r="97" spans="1:8" x14ac:dyDescent="0.2">
      <c r="A97" s="2" t="s">
        <v>8</v>
      </c>
      <c r="B97" s="2" t="s">
        <v>31</v>
      </c>
      <c r="C97" s="2">
        <v>28</v>
      </c>
      <c r="D97" s="2" t="s">
        <v>71</v>
      </c>
      <c r="E97" s="2" t="s">
        <v>71</v>
      </c>
      <c r="F97" s="3" t="b">
        <f>TRUE()</f>
        <v>1</v>
      </c>
      <c r="G97" s="2" t="s">
        <v>89</v>
      </c>
      <c r="H97" s="2" t="str">
        <f t="shared" si="1"/>
        <v>gpt|threshold_large|28</v>
      </c>
    </row>
    <row r="98" spans="1:8" x14ac:dyDescent="0.2">
      <c r="A98" s="2" t="s">
        <v>8</v>
      </c>
      <c r="B98" s="2" t="s">
        <v>31</v>
      </c>
      <c r="C98" s="2">
        <v>29</v>
      </c>
      <c r="D98" s="2" t="s">
        <v>71</v>
      </c>
      <c r="E98" s="2" t="s">
        <v>71</v>
      </c>
      <c r="F98" s="3" t="b">
        <f>TRUE()</f>
        <v>1</v>
      </c>
      <c r="G98" s="2" t="s">
        <v>90</v>
      </c>
      <c r="H98" s="2" t="str">
        <f t="shared" si="1"/>
        <v>gpt|threshold_large|29</v>
      </c>
    </row>
    <row r="99" spans="1:8" x14ac:dyDescent="0.2">
      <c r="A99" s="2" t="s">
        <v>8</v>
      </c>
      <c r="B99" s="2" t="s">
        <v>31</v>
      </c>
      <c r="C99" s="2">
        <v>31</v>
      </c>
      <c r="D99" s="2" t="s">
        <v>71</v>
      </c>
      <c r="E99" s="2" t="s">
        <v>71</v>
      </c>
      <c r="F99" s="3" t="b">
        <f>TRUE()</f>
        <v>1</v>
      </c>
      <c r="G99" s="2" t="s">
        <v>91</v>
      </c>
      <c r="H99" s="2" t="str">
        <f t="shared" si="1"/>
        <v>gpt|threshold_large|31</v>
      </c>
    </row>
    <row r="100" spans="1:8" x14ac:dyDescent="0.2">
      <c r="A100" s="2" t="s">
        <v>8</v>
      </c>
      <c r="B100" s="2" t="s">
        <v>31</v>
      </c>
      <c r="C100" s="2">
        <v>32</v>
      </c>
      <c r="D100" s="2" t="s">
        <v>71</v>
      </c>
      <c r="E100" s="2" t="s">
        <v>71</v>
      </c>
      <c r="F100" s="3" t="b">
        <f>TRUE()</f>
        <v>1</v>
      </c>
      <c r="G100" s="2" t="s">
        <v>92</v>
      </c>
      <c r="H100" s="2" t="str">
        <f t="shared" si="1"/>
        <v>gpt|threshold_large|32</v>
      </c>
    </row>
    <row r="101" spans="1:8" x14ac:dyDescent="0.2">
      <c r="A101" s="2" t="s">
        <v>8</v>
      </c>
      <c r="B101" s="2" t="s">
        <v>31</v>
      </c>
      <c r="C101" s="2">
        <v>41</v>
      </c>
      <c r="D101" s="2" t="s">
        <v>73</v>
      </c>
      <c r="E101" s="2" t="s">
        <v>73</v>
      </c>
      <c r="F101" s="3" t="b">
        <f>TRUE()</f>
        <v>1</v>
      </c>
      <c r="G101" s="2" t="s">
        <v>93</v>
      </c>
      <c r="H101" s="2" t="str">
        <f t="shared" si="1"/>
        <v>gpt|threshold_large|41</v>
      </c>
    </row>
    <row r="102" spans="1:8" x14ac:dyDescent="0.2">
      <c r="A102" s="2" t="s">
        <v>27</v>
      </c>
      <c r="B102" s="2" t="s">
        <v>31</v>
      </c>
      <c r="C102" s="2">
        <v>1</v>
      </c>
      <c r="D102" s="2" t="s">
        <v>71</v>
      </c>
      <c r="E102" s="2" t="s">
        <v>28</v>
      </c>
      <c r="F102" s="4" t="b">
        <f>FALSE()</f>
        <v>0</v>
      </c>
      <c r="G102" s="2" t="s">
        <v>72</v>
      </c>
      <c r="H102" s="2" t="str">
        <f t="shared" si="1"/>
        <v>claude|threshold_large|1</v>
      </c>
    </row>
    <row r="103" spans="1:8" x14ac:dyDescent="0.2">
      <c r="A103" s="2" t="s">
        <v>27</v>
      </c>
      <c r="B103" s="2" t="s">
        <v>31</v>
      </c>
      <c r="C103" s="2">
        <v>2</v>
      </c>
      <c r="D103" s="2" t="s">
        <v>71</v>
      </c>
      <c r="E103" s="2" t="s">
        <v>28</v>
      </c>
      <c r="F103" s="4" t="b">
        <f>FALSE()</f>
        <v>0</v>
      </c>
      <c r="G103" s="2" t="s">
        <v>74</v>
      </c>
      <c r="H103" s="2" t="str">
        <f t="shared" si="1"/>
        <v>claude|threshold_large|2</v>
      </c>
    </row>
    <row r="104" spans="1:8" x14ac:dyDescent="0.2">
      <c r="A104" s="2" t="s">
        <v>27</v>
      </c>
      <c r="B104" s="2" t="s">
        <v>31</v>
      </c>
      <c r="C104" s="2">
        <v>3</v>
      </c>
      <c r="D104" s="2" t="s">
        <v>71</v>
      </c>
      <c r="E104" s="2" t="s">
        <v>28</v>
      </c>
      <c r="F104" s="4" t="b">
        <f>FALSE()</f>
        <v>0</v>
      </c>
      <c r="G104" s="2" t="s">
        <v>75</v>
      </c>
      <c r="H104" s="2" t="str">
        <f t="shared" si="1"/>
        <v>claude|threshold_large|3</v>
      </c>
    </row>
    <row r="105" spans="1:8" x14ac:dyDescent="0.2">
      <c r="A105" s="2" t="s">
        <v>27</v>
      </c>
      <c r="B105" s="2" t="s">
        <v>31</v>
      </c>
      <c r="C105" s="2">
        <v>4</v>
      </c>
      <c r="D105" s="2" t="s">
        <v>73</v>
      </c>
      <c r="E105" s="2" t="s">
        <v>28</v>
      </c>
      <c r="F105" s="4" t="b">
        <f>FALSE()</f>
        <v>0</v>
      </c>
      <c r="G105" s="2" t="s">
        <v>76</v>
      </c>
      <c r="H105" s="2" t="str">
        <f t="shared" si="1"/>
        <v>claude|threshold_large|4</v>
      </c>
    </row>
    <row r="106" spans="1:8" x14ac:dyDescent="0.2">
      <c r="A106" s="2" t="s">
        <v>27</v>
      </c>
      <c r="B106" s="2" t="s">
        <v>31</v>
      </c>
      <c r="C106" s="2">
        <v>11</v>
      </c>
      <c r="D106" s="2" t="s">
        <v>71</v>
      </c>
      <c r="E106" s="2" t="s">
        <v>28</v>
      </c>
      <c r="F106" s="4" t="b">
        <f>FALSE()</f>
        <v>0</v>
      </c>
      <c r="G106" s="2" t="s">
        <v>77</v>
      </c>
      <c r="H106" s="2" t="str">
        <f t="shared" si="1"/>
        <v>claude|threshold_large|11</v>
      </c>
    </row>
    <row r="107" spans="1:8" x14ac:dyDescent="0.2">
      <c r="A107" s="2" t="s">
        <v>27</v>
      </c>
      <c r="B107" s="2" t="s">
        <v>31</v>
      </c>
      <c r="C107" s="2">
        <v>12</v>
      </c>
      <c r="D107" s="2" t="s">
        <v>71</v>
      </c>
      <c r="E107" s="2" t="s">
        <v>28</v>
      </c>
      <c r="F107" s="4" t="b">
        <f>FALSE()</f>
        <v>0</v>
      </c>
      <c r="G107" s="2" t="s">
        <v>78</v>
      </c>
      <c r="H107" s="2" t="str">
        <f t="shared" si="1"/>
        <v>claude|threshold_large|12</v>
      </c>
    </row>
    <row r="108" spans="1:8" x14ac:dyDescent="0.2">
      <c r="A108" s="2" t="s">
        <v>27</v>
      </c>
      <c r="B108" s="2" t="s">
        <v>31</v>
      </c>
      <c r="C108" s="2">
        <v>13</v>
      </c>
      <c r="D108" s="2" t="s">
        <v>73</v>
      </c>
      <c r="E108" s="2" t="s">
        <v>28</v>
      </c>
      <c r="F108" s="4" t="b">
        <f>FALSE()</f>
        <v>0</v>
      </c>
      <c r="G108" s="2" t="s">
        <v>79</v>
      </c>
      <c r="H108" s="2" t="str">
        <f t="shared" si="1"/>
        <v>claude|threshold_large|13</v>
      </c>
    </row>
    <row r="109" spans="1:8" x14ac:dyDescent="0.2">
      <c r="A109" s="2" t="s">
        <v>27</v>
      </c>
      <c r="B109" s="2" t="s">
        <v>31</v>
      </c>
      <c r="C109" s="2">
        <v>14</v>
      </c>
      <c r="D109" s="2" t="s">
        <v>71</v>
      </c>
      <c r="E109" s="2" t="s">
        <v>28</v>
      </c>
      <c r="F109" s="4" t="b">
        <f>FALSE()</f>
        <v>0</v>
      </c>
      <c r="G109" s="2" t="s">
        <v>81</v>
      </c>
      <c r="H109" s="2" t="str">
        <f t="shared" si="1"/>
        <v>claude|threshold_large|14</v>
      </c>
    </row>
    <row r="110" spans="1:8" x14ac:dyDescent="0.2">
      <c r="A110" s="2" t="s">
        <v>27</v>
      </c>
      <c r="B110" s="2" t="s">
        <v>31</v>
      </c>
      <c r="C110" s="2">
        <v>21</v>
      </c>
      <c r="D110" s="2" t="s">
        <v>71</v>
      </c>
      <c r="E110" s="2" t="s">
        <v>28</v>
      </c>
      <c r="F110" s="4" t="b">
        <f>FALSE()</f>
        <v>0</v>
      </c>
      <c r="G110" s="2" t="s">
        <v>82</v>
      </c>
      <c r="H110" s="2" t="str">
        <f t="shared" si="1"/>
        <v>claude|threshold_large|21</v>
      </c>
    </row>
    <row r="111" spans="1:8" x14ac:dyDescent="0.2">
      <c r="A111" s="2" t="s">
        <v>27</v>
      </c>
      <c r="B111" s="2" t="s">
        <v>31</v>
      </c>
      <c r="C111" s="2">
        <v>22</v>
      </c>
      <c r="D111" s="2" t="s">
        <v>71</v>
      </c>
      <c r="E111" s="2" t="s">
        <v>28</v>
      </c>
      <c r="F111" s="4" t="b">
        <f>FALSE()</f>
        <v>0</v>
      </c>
      <c r="G111" s="2" t="s">
        <v>83</v>
      </c>
      <c r="H111" s="2" t="str">
        <f t="shared" si="1"/>
        <v>claude|threshold_large|22</v>
      </c>
    </row>
    <row r="112" spans="1:8" x14ac:dyDescent="0.2">
      <c r="A112" s="2" t="s">
        <v>27</v>
      </c>
      <c r="B112" s="2" t="s">
        <v>31</v>
      </c>
      <c r="C112" s="2">
        <v>23</v>
      </c>
      <c r="D112" s="2" t="s">
        <v>71</v>
      </c>
      <c r="E112" s="2" t="s">
        <v>28</v>
      </c>
      <c r="F112" s="4" t="b">
        <f>FALSE()</f>
        <v>0</v>
      </c>
      <c r="G112" s="2" t="s">
        <v>84</v>
      </c>
      <c r="H112" s="2" t="str">
        <f t="shared" si="1"/>
        <v>claude|threshold_large|23</v>
      </c>
    </row>
    <row r="113" spans="1:8" x14ac:dyDescent="0.2">
      <c r="A113" s="2" t="s">
        <v>27</v>
      </c>
      <c r="B113" s="2" t="s">
        <v>31</v>
      </c>
      <c r="C113" s="2">
        <v>24</v>
      </c>
      <c r="D113" s="2" t="s">
        <v>71</v>
      </c>
      <c r="E113" s="2" t="s">
        <v>28</v>
      </c>
      <c r="F113" s="4" t="b">
        <f>FALSE()</f>
        <v>0</v>
      </c>
      <c r="G113" s="2" t="s">
        <v>85</v>
      </c>
      <c r="H113" s="2" t="str">
        <f t="shared" si="1"/>
        <v>claude|threshold_large|24</v>
      </c>
    </row>
    <row r="114" spans="1:8" x14ac:dyDescent="0.2">
      <c r="A114" s="2" t="s">
        <v>27</v>
      </c>
      <c r="B114" s="2" t="s">
        <v>31</v>
      </c>
      <c r="C114" s="2">
        <v>25</v>
      </c>
      <c r="D114" s="2" t="s">
        <v>71</v>
      </c>
      <c r="E114" s="2" t="s">
        <v>28</v>
      </c>
      <c r="F114" s="4" t="b">
        <f>FALSE()</f>
        <v>0</v>
      </c>
      <c r="G114" s="2" t="s">
        <v>86</v>
      </c>
      <c r="H114" s="2" t="str">
        <f t="shared" si="1"/>
        <v>claude|threshold_large|25</v>
      </c>
    </row>
    <row r="115" spans="1:8" x14ac:dyDescent="0.2">
      <c r="A115" s="2" t="s">
        <v>27</v>
      </c>
      <c r="B115" s="2" t="s">
        <v>31</v>
      </c>
      <c r="C115" s="2">
        <v>26</v>
      </c>
      <c r="D115" s="2" t="s">
        <v>71</v>
      </c>
      <c r="E115" s="2" t="s">
        <v>28</v>
      </c>
      <c r="F115" s="4" t="b">
        <f>FALSE()</f>
        <v>0</v>
      </c>
      <c r="G115" s="2" t="s">
        <v>87</v>
      </c>
      <c r="H115" s="2" t="str">
        <f t="shared" si="1"/>
        <v>claude|threshold_large|26</v>
      </c>
    </row>
    <row r="116" spans="1:8" x14ac:dyDescent="0.2">
      <c r="A116" s="2" t="s">
        <v>27</v>
      </c>
      <c r="B116" s="2" t="s">
        <v>31</v>
      </c>
      <c r="C116" s="2">
        <v>27</v>
      </c>
      <c r="D116" s="2" t="s">
        <v>71</v>
      </c>
      <c r="E116" s="2" t="s">
        <v>28</v>
      </c>
      <c r="F116" s="4" t="b">
        <f>FALSE()</f>
        <v>0</v>
      </c>
      <c r="G116" s="2" t="s">
        <v>88</v>
      </c>
      <c r="H116" s="2" t="str">
        <f t="shared" si="1"/>
        <v>claude|threshold_large|27</v>
      </c>
    </row>
    <row r="117" spans="1:8" x14ac:dyDescent="0.2">
      <c r="A117" s="2" t="s">
        <v>27</v>
      </c>
      <c r="B117" s="2" t="s">
        <v>31</v>
      </c>
      <c r="C117" s="2">
        <v>28</v>
      </c>
      <c r="D117" s="2" t="s">
        <v>71</v>
      </c>
      <c r="E117" s="2" t="s">
        <v>28</v>
      </c>
      <c r="F117" s="4" t="b">
        <f>FALSE()</f>
        <v>0</v>
      </c>
      <c r="G117" s="2" t="s">
        <v>89</v>
      </c>
      <c r="H117" s="2" t="str">
        <f t="shared" si="1"/>
        <v>claude|threshold_large|28</v>
      </c>
    </row>
    <row r="118" spans="1:8" x14ac:dyDescent="0.2">
      <c r="A118" s="2" t="s">
        <v>27</v>
      </c>
      <c r="B118" s="2" t="s">
        <v>31</v>
      </c>
      <c r="C118" s="2">
        <v>29</v>
      </c>
      <c r="D118" s="2" t="s">
        <v>71</v>
      </c>
      <c r="E118" s="2" t="s">
        <v>28</v>
      </c>
      <c r="F118" s="4" t="b">
        <f>FALSE()</f>
        <v>0</v>
      </c>
      <c r="G118" s="2" t="s">
        <v>90</v>
      </c>
      <c r="H118" s="2" t="str">
        <f t="shared" si="1"/>
        <v>claude|threshold_large|29</v>
      </c>
    </row>
    <row r="119" spans="1:8" x14ac:dyDescent="0.2">
      <c r="A119" s="2" t="s">
        <v>27</v>
      </c>
      <c r="B119" s="2" t="s">
        <v>31</v>
      </c>
      <c r="C119" s="2">
        <v>31</v>
      </c>
      <c r="D119" s="2" t="s">
        <v>71</v>
      </c>
      <c r="E119" s="2" t="s">
        <v>28</v>
      </c>
      <c r="F119" s="4" t="b">
        <f>FALSE()</f>
        <v>0</v>
      </c>
      <c r="G119" s="2" t="s">
        <v>91</v>
      </c>
      <c r="H119" s="2" t="str">
        <f t="shared" si="1"/>
        <v>claude|threshold_large|31</v>
      </c>
    </row>
    <row r="120" spans="1:8" x14ac:dyDescent="0.2">
      <c r="A120" s="2" t="s">
        <v>27</v>
      </c>
      <c r="B120" s="2" t="s">
        <v>31</v>
      </c>
      <c r="C120" s="2">
        <v>32</v>
      </c>
      <c r="D120" s="2" t="s">
        <v>71</v>
      </c>
      <c r="E120" s="2" t="s">
        <v>28</v>
      </c>
      <c r="F120" s="4" t="b">
        <f>FALSE()</f>
        <v>0</v>
      </c>
      <c r="G120" s="2" t="s">
        <v>92</v>
      </c>
      <c r="H120" s="2" t="str">
        <f t="shared" si="1"/>
        <v>claude|threshold_large|32</v>
      </c>
    </row>
    <row r="121" spans="1:8" x14ac:dyDescent="0.2">
      <c r="A121" s="2" t="s">
        <v>27</v>
      </c>
      <c r="B121" s="2" t="s">
        <v>31</v>
      </c>
      <c r="C121" s="2">
        <v>41</v>
      </c>
      <c r="D121" s="2" t="s">
        <v>73</v>
      </c>
      <c r="E121" s="2" t="s">
        <v>28</v>
      </c>
      <c r="F121" s="4" t="b">
        <f>FALSE()</f>
        <v>0</v>
      </c>
      <c r="G121" s="2" t="s">
        <v>93</v>
      </c>
      <c r="H121" s="2" t="str">
        <f t="shared" si="1"/>
        <v>claude|threshold_large|41</v>
      </c>
    </row>
    <row r="122" spans="1:8" x14ac:dyDescent="0.2">
      <c r="A122" s="2" t="s">
        <v>29</v>
      </c>
      <c r="B122" s="2" t="s">
        <v>31</v>
      </c>
      <c r="C122" s="2">
        <v>1</v>
      </c>
      <c r="D122" s="2" t="s">
        <v>71</v>
      </c>
      <c r="E122" s="2" t="s">
        <v>71</v>
      </c>
      <c r="F122" s="3" t="b">
        <f>TRUE()</f>
        <v>1</v>
      </c>
      <c r="G122" s="2" t="s">
        <v>72</v>
      </c>
      <c r="H122" s="2" t="str">
        <f t="shared" si="1"/>
        <v>gemini|threshold_large|1</v>
      </c>
    </row>
    <row r="123" spans="1:8" x14ac:dyDescent="0.2">
      <c r="A123" s="2" t="s">
        <v>29</v>
      </c>
      <c r="B123" s="2" t="s">
        <v>31</v>
      </c>
      <c r="C123" s="2">
        <v>2</v>
      </c>
      <c r="D123" s="2" t="s">
        <v>71</v>
      </c>
      <c r="E123" s="2" t="s">
        <v>71</v>
      </c>
      <c r="F123" s="3" t="b">
        <f>TRUE()</f>
        <v>1</v>
      </c>
      <c r="G123" s="2" t="s">
        <v>74</v>
      </c>
      <c r="H123" s="2" t="str">
        <f t="shared" si="1"/>
        <v>gemini|threshold_large|2</v>
      </c>
    </row>
    <row r="124" spans="1:8" x14ac:dyDescent="0.2">
      <c r="A124" s="2" t="s">
        <v>29</v>
      </c>
      <c r="B124" s="2" t="s">
        <v>31</v>
      </c>
      <c r="C124" s="2">
        <v>3</v>
      </c>
      <c r="D124" s="2" t="s">
        <v>71</v>
      </c>
      <c r="E124" s="2" t="s">
        <v>71</v>
      </c>
      <c r="F124" s="3" t="b">
        <f>TRUE()</f>
        <v>1</v>
      </c>
      <c r="G124" s="2" t="s">
        <v>75</v>
      </c>
      <c r="H124" s="2" t="str">
        <f t="shared" si="1"/>
        <v>gemini|threshold_large|3</v>
      </c>
    </row>
    <row r="125" spans="1:8" x14ac:dyDescent="0.2">
      <c r="A125" s="2" t="s">
        <v>29</v>
      </c>
      <c r="B125" s="2" t="s">
        <v>31</v>
      </c>
      <c r="C125" s="2">
        <v>4</v>
      </c>
      <c r="D125" s="2" t="s">
        <v>73</v>
      </c>
      <c r="E125" s="2" t="s">
        <v>73</v>
      </c>
      <c r="F125" s="3" t="b">
        <f>TRUE()</f>
        <v>1</v>
      </c>
      <c r="G125" s="2" t="s">
        <v>76</v>
      </c>
      <c r="H125" s="2" t="str">
        <f t="shared" si="1"/>
        <v>gemini|threshold_large|4</v>
      </c>
    </row>
    <row r="126" spans="1:8" x14ac:dyDescent="0.2">
      <c r="A126" s="2" t="s">
        <v>29</v>
      </c>
      <c r="B126" s="2" t="s">
        <v>31</v>
      </c>
      <c r="C126" s="2">
        <v>11</v>
      </c>
      <c r="D126" s="2" t="s">
        <v>71</v>
      </c>
      <c r="E126" s="2" t="s">
        <v>71</v>
      </c>
      <c r="F126" s="3" t="b">
        <f>TRUE()</f>
        <v>1</v>
      </c>
      <c r="G126" s="2" t="s">
        <v>77</v>
      </c>
      <c r="H126" s="2" t="str">
        <f t="shared" si="1"/>
        <v>gemini|threshold_large|11</v>
      </c>
    </row>
    <row r="127" spans="1:8" x14ac:dyDescent="0.2">
      <c r="A127" s="2" t="s">
        <v>29</v>
      </c>
      <c r="B127" s="2" t="s">
        <v>31</v>
      </c>
      <c r="C127" s="2">
        <v>12</v>
      </c>
      <c r="D127" s="2" t="s">
        <v>71</v>
      </c>
      <c r="E127" s="2" t="s">
        <v>73</v>
      </c>
      <c r="F127" s="4" t="b">
        <f>FALSE()</f>
        <v>0</v>
      </c>
      <c r="G127" s="2" t="s">
        <v>78</v>
      </c>
      <c r="H127" s="2" t="str">
        <f t="shared" si="1"/>
        <v>gemini|threshold_large|12</v>
      </c>
    </row>
    <row r="128" spans="1:8" x14ac:dyDescent="0.2">
      <c r="A128" s="2" t="s">
        <v>29</v>
      </c>
      <c r="B128" s="2" t="s">
        <v>31</v>
      </c>
      <c r="C128" s="2">
        <v>13</v>
      </c>
      <c r="D128" s="2" t="s">
        <v>73</v>
      </c>
      <c r="E128" s="2" t="s">
        <v>73</v>
      </c>
      <c r="F128" s="3" t="b">
        <f>TRUE()</f>
        <v>1</v>
      </c>
      <c r="G128" s="2" t="s">
        <v>79</v>
      </c>
      <c r="H128" s="2" t="str">
        <f t="shared" si="1"/>
        <v>gemini|threshold_large|13</v>
      </c>
    </row>
    <row r="129" spans="1:8" x14ac:dyDescent="0.2">
      <c r="A129" s="2" t="s">
        <v>29</v>
      </c>
      <c r="B129" s="2" t="s">
        <v>31</v>
      </c>
      <c r="C129" s="2">
        <v>14</v>
      </c>
      <c r="D129" s="2" t="s">
        <v>71</v>
      </c>
      <c r="E129" s="2" t="s">
        <v>73</v>
      </c>
      <c r="F129" s="4" t="b">
        <f>FALSE()</f>
        <v>0</v>
      </c>
      <c r="G129" s="2" t="s">
        <v>81</v>
      </c>
      <c r="H129" s="2" t="str">
        <f t="shared" si="1"/>
        <v>gemini|threshold_large|14</v>
      </c>
    </row>
    <row r="130" spans="1:8" x14ac:dyDescent="0.2">
      <c r="A130" s="2" t="s">
        <v>29</v>
      </c>
      <c r="B130" s="2" t="s">
        <v>31</v>
      </c>
      <c r="C130" s="2">
        <v>21</v>
      </c>
      <c r="D130" s="2" t="s">
        <v>71</v>
      </c>
      <c r="E130" s="2" t="s">
        <v>73</v>
      </c>
      <c r="F130" s="4" t="b">
        <f>FALSE()</f>
        <v>0</v>
      </c>
      <c r="G130" s="2" t="s">
        <v>82</v>
      </c>
      <c r="H130" s="2" t="str">
        <f t="shared" ref="H130:H193" si="2">A130&amp;"|"&amp;B130&amp;"|"&amp;C130</f>
        <v>gemini|threshold_large|21</v>
      </c>
    </row>
    <row r="131" spans="1:8" x14ac:dyDescent="0.2">
      <c r="A131" s="2" t="s">
        <v>29</v>
      </c>
      <c r="B131" s="2" t="s">
        <v>31</v>
      </c>
      <c r="C131" s="2">
        <v>22</v>
      </c>
      <c r="D131" s="2" t="s">
        <v>71</v>
      </c>
      <c r="E131" s="2" t="s">
        <v>73</v>
      </c>
      <c r="F131" s="4" t="b">
        <f>FALSE()</f>
        <v>0</v>
      </c>
      <c r="G131" s="2" t="s">
        <v>83</v>
      </c>
      <c r="H131" s="2" t="str">
        <f t="shared" si="2"/>
        <v>gemini|threshold_large|22</v>
      </c>
    </row>
    <row r="132" spans="1:8" x14ac:dyDescent="0.2">
      <c r="A132" s="2" t="s">
        <v>29</v>
      </c>
      <c r="B132" s="2" t="s">
        <v>31</v>
      </c>
      <c r="C132" s="2">
        <v>23</v>
      </c>
      <c r="D132" s="2" t="s">
        <v>71</v>
      </c>
      <c r="E132" s="2" t="s">
        <v>73</v>
      </c>
      <c r="F132" s="4" t="b">
        <f>FALSE()</f>
        <v>0</v>
      </c>
      <c r="G132" s="2" t="s">
        <v>84</v>
      </c>
      <c r="H132" s="2" t="str">
        <f t="shared" si="2"/>
        <v>gemini|threshold_large|23</v>
      </c>
    </row>
    <row r="133" spans="1:8" x14ac:dyDescent="0.2">
      <c r="A133" s="2" t="s">
        <v>29</v>
      </c>
      <c r="B133" s="2" t="s">
        <v>31</v>
      </c>
      <c r="C133" s="2">
        <v>24</v>
      </c>
      <c r="D133" s="2" t="s">
        <v>71</v>
      </c>
      <c r="E133" s="2" t="s">
        <v>80</v>
      </c>
      <c r="F133" s="4" t="b">
        <f>FALSE()</f>
        <v>0</v>
      </c>
      <c r="G133" s="2" t="s">
        <v>85</v>
      </c>
      <c r="H133" s="2" t="str">
        <f t="shared" si="2"/>
        <v>gemini|threshold_large|24</v>
      </c>
    </row>
    <row r="134" spans="1:8" x14ac:dyDescent="0.2">
      <c r="A134" s="2" t="s">
        <v>29</v>
      </c>
      <c r="B134" s="2" t="s">
        <v>31</v>
      </c>
      <c r="C134" s="2">
        <v>25</v>
      </c>
      <c r="D134" s="2" t="s">
        <v>71</v>
      </c>
      <c r="E134" s="2" t="s">
        <v>73</v>
      </c>
      <c r="F134" s="4" t="b">
        <f>FALSE()</f>
        <v>0</v>
      </c>
      <c r="G134" s="2" t="s">
        <v>86</v>
      </c>
      <c r="H134" s="2" t="str">
        <f t="shared" si="2"/>
        <v>gemini|threshold_large|25</v>
      </c>
    </row>
    <row r="135" spans="1:8" x14ac:dyDescent="0.2">
      <c r="A135" s="2" t="s">
        <v>29</v>
      </c>
      <c r="B135" s="2" t="s">
        <v>31</v>
      </c>
      <c r="C135" s="2">
        <v>26</v>
      </c>
      <c r="D135" s="2" t="s">
        <v>71</v>
      </c>
      <c r="E135" s="2" t="s">
        <v>80</v>
      </c>
      <c r="F135" s="4" t="b">
        <f>FALSE()</f>
        <v>0</v>
      </c>
      <c r="G135" s="2" t="s">
        <v>87</v>
      </c>
      <c r="H135" s="2" t="str">
        <f t="shared" si="2"/>
        <v>gemini|threshold_large|26</v>
      </c>
    </row>
    <row r="136" spans="1:8" x14ac:dyDescent="0.2">
      <c r="A136" s="2" t="s">
        <v>29</v>
      </c>
      <c r="B136" s="2" t="s">
        <v>31</v>
      </c>
      <c r="C136" s="2">
        <v>27</v>
      </c>
      <c r="D136" s="2" t="s">
        <v>71</v>
      </c>
      <c r="E136" s="2" t="s">
        <v>80</v>
      </c>
      <c r="F136" s="4" t="b">
        <f>FALSE()</f>
        <v>0</v>
      </c>
      <c r="G136" s="2" t="s">
        <v>88</v>
      </c>
      <c r="H136" s="2" t="str">
        <f t="shared" si="2"/>
        <v>gemini|threshold_large|27</v>
      </c>
    </row>
    <row r="137" spans="1:8" x14ac:dyDescent="0.2">
      <c r="A137" s="2" t="s">
        <v>29</v>
      </c>
      <c r="B137" s="2" t="s">
        <v>31</v>
      </c>
      <c r="C137" s="2">
        <v>28</v>
      </c>
      <c r="D137" s="2" t="s">
        <v>71</v>
      </c>
      <c r="E137" s="2" t="s">
        <v>73</v>
      </c>
      <c r="F137" s="4" t="b">
        <f>FALSE()</f>
        <v>0</v>
      </c>
      <c r="G137" s="2" t="s">
        <v>89</v>
      </c>
      <c r="H137" s="2" t="str">
        <f t="shared" si="2"/>
        <v>gemini|threshold_large|28</v>
      </c>
    </row>
    <row r="138" spans="1:8" x14ac:dyDescent="0.2">
      <c r="A138" s="2" t="s">
        <v>29</v>
      </c>
      <c r="B138" s="2" t="s">
        <v>31</v>
      </c>
      <c r="C138" s="2">
        <v>29</v>
      </c>
      <c r="D138" s="2" t="s">
        <v>71</v>
      </c>
      <c r="E138" s="2" t="s">
        <v>80</v>
      </c>
      <c r="F138" s="4" t="b">
        <f>FALSE()</f>
        <v>0</v>
      </c>
      <c r="G138" s="2" t="s">
        <v>90</v>
      </c>
      <c r="H138" s="2" t="str">
        <f t="shared" si="2"/>
        <v>gemini|threshold_large|29</v>
      </c>
    </row>
    <row r="139" spans="1:8" x14ac:dyDescent="0.2">
      <c r="A139" s="2" t="s">
        <v>29</v>
      </c>
      <c r="B139" s="2" t="s">
        <v>31</v>
      </c>
      <c r="C139" s="2">
        <v>31</v>
      </c>
      <c r="D139" s="2" t="s">
        <v>71</v>
      </c>
      <c r="E139" s="2" t="s">
        <v>80</v>
      </c>
      <c r="F139" s="4" t="b">
        <f>FALSE()</f>
        <v>0</v>
      </c>
      <c r="G139" s="2" t="s">
        <v>91</v>
      </c>
      <c r="H139" s="2" t="str">
        <f t="shared" si="2"/>
        <v>gemini|threshold_large|31</v>
      </c>
    </row>
    <row r="140" spans="1:8" x14ac:dyDescent="0.2">
      <c r="A140" s="2" t="s">
        <v>29</v>
      </c>
      <c r="B140" s="2" t="s">
        <v>31</v>
      </c>
      <c r="C140" s="2">
        <v>32</v>
      </c>
      <c r="D140" s="2" t="s">
        <v>71</v>
      </c>
      <c r="E140" s="2" t="s">
        <v>71</v>
      </c>
      <c r="F140" s="3" t="b">
        <f>TRUE()</f>
        <v>1</v>
      </c>
      <c r="G140" s="2" t="s">
        <v>92</v>
      </c>
      <c r="H140" s="2" t="str">
        <f t="shared" si="2"/>
        <v>gemini|threshold_large|32</v>
      </c>
    </row>
    <row r="141" spans="1:8" x14ac:dyDescent="0.2">
      <c r="A141" s="2" t="s">
        <v>29</v>
      </c>
      <c r="B141" s="2" t="s">
        <v>31</v>
      </c>
      <c r="C141" s="2">
        <v>41</v>
      </c>
      <c r="D141" s="2" t="s">
        <v>73</v>
      </c>
      <c r="E141" s="2" t="s">
        <v>73</v>
      </c>
      <c r="F141" s="3" t="b">
        <f>TRUE()</f>
        <v>1</v>
      </c>
      <c r="G141" s="2" t="s">
        <v>93</v>
      </c>
      <c r="H141" s="2" t="str">
        <f t="shared" si="2"/>
        <v>gemini|threshold_large|41</v>
      </c>
    </row>
    <row r="142" spans="1:8" x14ac:dyDescent="0.2">
      <c r="A142" s="2" t="s">
        <v>30</v>
      </c>
      <c r="B142" s="2" t="s">
        <v>31</v>
      </c>
      <c r="C142" s="2">
        <v>1</v>
      </c>
      <c r="D142" s="2" t="s">
        <v>71</v>
      </c>
      <c r="E142" s="2" t="s">
        <v>28</v>
      </c>
      <c r="F142" s="4" t="b">
        <f>FALSE()</f>
        <v>0</v>
      </c>
      <c r="G142" s="2" t="s">
        <v>72</v>
      </c>
      <c r="H142" s="2" t="str">
        <f t="shared" si="2"/>
        <v>llama|threshold_large|1</v>
      </c>
    </row>
    <row r="143" spans="1:8" x14ac:dyDescent="0.2">
      <c r="A143" s="2" t="s">
        <v>30</v>
      </c>
      <c r="B143" s="2" t="s">
        <v>31</v>
      </c>
      <c r="C143" s="2">
        <v>2</v>
      </c>
      <c r="D143" s="2" t="s">
        <v>71</v>
      </c>
      <c r="E143" s="2" t="s">
        <v>28</v>
      </c>
      <c r="F143" s="4" t="b">
        <f>FALSE()</f>
        <v>0</v>
      </c>
      <c r="G143" s="2" t="s">
        <v>74</v>
      </c>
      <c r="H143" s="2" t="str">
        <f t="shared" si="2"/>
        <v>llama|threshold_large|2</v>
      </c>
    </row>
    <row r="144" spans="1:8" x14ac:dyDescent="0.2">
      <c r="A144" s="2" t="s">
        <v>30</v>
      </c>
      <c r="B144" s="2" t="s">
        <v>31</v>
      </c>
      <c r="C144" s="2">
        <v>3</v>
      </c>
      <c r="D144" s="2" t="s">
        <v>71</v>
      </c>
      <c r="E144" s="2" t="s">
        <v>28</v>
      </c>
      <c r="F144" s="4" t="b">
        <f>FALSE()</f>
        <v>0</v>
      </c>
      <c r="G144" s="2" t="s">
        <v>75</v>
      </c>
      <c r="H144" s="2" t="str">
        <f t="shared" si="2"/>
        <v>llama|threshold_large|3</v>
      </c>
    </row>
    <row r="145" spans="1:8" x14ac:dyDescent="0.2">
      <c r="A145" s="2" t="s">
        <v>30</v>
      </c>
      <c r="B145" s="2" t="s">
        <v>31</v>
      </c>
      <c r="C145" s="2">
        <v>4</v>
      </c>
      <c r="D145" s="2" t="s">
        <v>73</v>
      </c>
      <c r="E145" s="2" t="s">
        <v>28</v>
      </c>
      <c r="F145" s="4" t="b">
        <f>FALSE()</f>
        <v>0</v>
      </c>
      <c r="G145" s="2" t="s">
        <v>76</v>
      </c>
      <c r="H145" s="2" t="str">
        <f t="shared" si="2"/>
        <v>llama|threshold_large|4</v>
      </c>
    </row>
    <row r="146" spans="1:8" x14ac:dyDescent="0.2">
      <c r="A146" s="2" t="s">
        <v>30</v>
      </c>
      <c r="B146" s="2" t="s">
        <v>31</v>
      </c>
      <c r="C146" s="2">
        <v>11</v>
      </c>
      <c r="D146" s="2" t="s">
        <v>71</v>
      </c>
      <c r="E146" s="2" t="s">
        <v>28</v>
      </c>
      <c r="F146" s="4" t="b">
        <f>FALSE()</f>
        <v>0</v>
      </c>
      <c r="G146" s="2" t="s">
        <v>77</v>
      </c>
      <c r="H146" s="2" t="str">
        <f t="shared" si="2"/>
        <v>llama|threshold_large|11</v>
      </c>
    </row>
    <row r="147" spans="1:8" x14ac:dyDescent="0.2">
      <c r="A147" s="2" t="s">
        <v>30</v>
      </c>
      <c r="B147" s="2" t="s">
        <v>31</v>
      </c>
      <c r="C147" s="2">
        <v>12</v>
      </c>
      <c r="D147" s="2" t="s">
        <v>71</v>
      </c>
      <c r="E147" s="2" t="s">
        <v>28</v>
      </c>
      <c r="F147" s="4" t="b">
        <f>FALSE()</f>
        <v>0</v>
      </c>
      <c r="G147" s="2" t="s">
        <v>78</v>
      </c>
      <c r="H147" s="2" t="str">
        <f t="shared" si="2"/>
        <v>llama|threshold_large|12</v>
      </c>
    </row>
    <row r="148" spans="1:8" x14ac:dyDescent="0.2">
      <c r="A148" s="2" t="s">
        <v>30</v>
      </c>
      <c r="B148" s="2" t="s">
        <v>31</v>
      </c>
      <c r="C148" s="2">
        <v>13</v>
      </c>
      <c r="D148" s="2" t="s">
        <v>73</v>
      </c>
      <c r="E148" s="2" t="s">
        <v>28</v>
      </c>
      <c r="F148" s="4" t="b">
        <f>FALSE()</f>
        <v>0</v>
      </c>
      <c r="G148" s="2" t="s">
        <v>79</v>
      </c>
      <c r="H148" s="2" t="str">
        <f t="shared" si="2"/>
        <v>llama|threshold_large|13</v>
      </c>
    </row>
    <row r="149" spans="1:8" x14ac:dyDescent="0.2">
      <c r="A149" s="2" t="s">
        <v>30</v>
      </c>
      <c r="B149" s="2" t="s">
        <v>31</v>
      </c>
      <c r="C149" s="2">
        <v>14</v>
      </c>
      <c r="D149" s="2" t="s">
        <v>71</v>
      </c>
      <c r="E149" s="2" t="s">
        <v>28</v>
      </c>
      <c r="F149" s="4" t="b">
        <f>FALSE()</f>
        <v>0</v>
      </c>
      <c r="G149" s="2" t="s">
        <v>81</v>
      </c>
      <c r="H149" s="2" t="str">
        <f t="shared" si="2"/>
        <v>llama|threshold_large|14</v>
      </c>
    </row>
    <row r="150" spans="1:8" x14ac:dyDescent="0.2">
      <c r="A150" s="2" t="s">
        <v>30</v>
      </c>
      <c r="B150" s="2" t="s">
        <v>31</v>
      </c>
      <c r="C150" s="2">
        <v>21</v>
      </c>
      <c r="D150" s="2" t="s">
        <v>71</v>
      </c>
      <c r="E150" s="2" t="s">
        <v>28</v>
      </c>
      <c r="F150" s="4" t="b">
        <f>FALSE()</f>
        <v>0</v>
      </c>
      <c r="G150" s="2" t="s">
        <v>82</v>
      </c>
      <c r="H150" s="2" t="str">
        <f t="shared" si="2"/>
        <v>llama|threshold_large|21</v>
      </c>
    </row>
    <row r="151" spans="1:8" x14ac:dyDescent="0.2">
      <c r="A151" s="2" t="s">
        <v>30</v>
      </c>
      <c r="B151" s="2" t="s">
        <v>31</v>
      </c>
      <c r="C151" s="2">
        <v>22</v>
      </c>
      <c r="D151" s="2" t="s">
        <v>71</v>
      </c>
      <c r="E151" s="2" t="s">
        <v>28</v>
      </c>
      <c r="F151" s="4" t="b">
        <f>FALSE()</f>
        <v>0</v>
      </c>
      <c r="G151" s="2" t="s">
        <v>83</v>
      </c>
      <c r="H151" s="2" t="str">
        <f t="shared" si="2"/>
        <v>llama|threshold_large|22</v>
      </c>
    </row>
    <row r="152" spans="1:8" x14ac:dyDescent="0.2">
      <c r="A152" s="2" t="s">
        <v>30</v>
      </c>
      <c r="B152" s="2" t="s">
        <v>31</v>
      </c>
      <c r="C152" s="2">
        <v>23</v>
      </c>
      <c r="D152" s="2" t="s">
        <v>71</v>
      </c>
      <c r="E152" s="2" t="s">
        <v>28</v>
      </c>
      <c r="F152" s="4" t="b">
        <f>FALSE()</f>
        <v>0</v>
      </c>
      <c r="G152" s="2" t="s">
        <v>84</v>
      </c>
      <c r="H152" s="2" t="str">
        <f t="shared" si="2"/>
        <v>llama|threshold_large|23</v>
      </c>
    </row>
    <row r="153" spans="1:8" x14ac:dyDescent="0.2">
      <c r="A153" s="2" t="s">
        <v>30</v>
      </c>
      <c r="B153" s="2" t="s">
        <v>31</v>
      </c>
      <c r="C153" s="2">
        <v>24</v>
      </c>
      <c r="D153" s="2" t="s">
        <v>71</v>
      </c>
      <c r="E153" s="2" t="s">
        <v>28</v>
      </c>
      <c r="F153" s="4" t="b">
        <f>FALSE()</f>
        <v>0</v>
      </c>
      <c r="G153" s="2" t="s">
        <v>85</v>
      </c>
      <c r="H153" s="2" t="str">
        <f t="shared" si="2"/>
        <v>llama|threshold_large|24</v>
      </c>
    </row>
    <row r="154" spans="1:8" x14ac:dyDescent="0.2">
      <c r="A154" s="2" t="s">
        <v>30</v>
      </c>
      <c r="B154" s="2" t="s">
        <v>31</v>
      </c>
      <c r="C154" s="2">
        <v>25</v>
      </c>
      <c r="D154" s="2" t="s">
        <v>71</v>
      </c>
      <c r="E154" s="2" t="s">
        <v>28</v>
      </c>
      <c r="F154" s="4" t="b">
        <f>FALSE()</f>
        <v>0</v>
      </c>
      <c r="G154" s="2" t="s">
        <v>86</v>
      </c>
      <c r="H154" s="2" t="str">
        <f t="shared" si="2"/>
        <v>llama|threshold_large|25</v>
      </c>
    </row>
    <row r="155" spans="1:8" x14ac:dyDescent="0.2">
      <c r="A155" s="2" t="s">
        <v>30</v>
      </c>
      <c r="B155" s="2" t="s">
        <v>31</v>
      </c>
      <c r="C155" s="2">
        <v>26</v>
      </c>
      <c r="D155" s="2" t="s">
        <v>71</v>
      </c>
      <c r="E155" s="2" t="s">
        <v>28</v>
      </c>
      <c r="F155" s="4" t="b">
        <f>FALSE()</f>
        <v>0</v>
      </c>
      <c r="G155" s="2" t="s">
        <v>87</v>
      </c>
      <c r="H155" s="2" t="str">
        <f t="shared" si="2"/>
        <v>llama|threshold_large|26</v>
      </c>
    </row>
    <row r="156" spans="1:8" x14ac:dyDescent="0.2">
      <c r="A156" s="2" t="s">
        <v>30</v>
      </c>
      <c r="B156" s="2" t="s">
        <v>31</v>
      </c>
      <c r="C156" s="2">
        <v>27</v>
      </c>
      <c r="D156" s="2" t="s">
        <v>71</v>
      </c>
      <c r="E156" s="2" t="s">
        <v>28</v>
      </c>
      <c r="F156" s="4" t="b">
        <f>FALSE()</f>
        <v>0</v>
      </c>
      <c r="G156" s="2" t="s">
        <v>88</v>
      </c>
      <c r="H156" s="2" t="str">
        <f t="shared" si="2"/>
        <v>llama|threshold_large|27</v>
      </c>
    </row>
    <row r="157" spans="1:8" x14ac:dyDescent="0.2">
      <c r="A157" s="2" t="s">
        <v>30</v>
      </c>
      <c r="B157" s="2" t="s">
        <v>31</v>
      </c>
      <c r="C157" s="2">
        <v>28</v>
      </c>
      <c r="D157" s="2" t="s">
        <v>71</v>
      </c>
      <c r="E157" s="2" t="s">
        <v>28</v>
      </c>
      <c r="F157" s="4" t="b">
        <f>FALSE()</f>
        <v>0</v>
      </c>
      <c r="G157" s="2" t="s">
        <v>89</v>
      </c>
      <c r="H157" s="2" t="str">
        <f t="shared" si="2"/>
        <v>llama|threshold_large|28</v>
      </c>
    </row>
    <row r="158" spans="1:8" x14ac:dyDescent="0.2">
      <c r="A158" s="2" t="s">
        <v>30</v>
      </c>
      <c r="B158" s="2" t="s">
        <v>31</v>
      </c>
      <c r="C158" s="2">
        <v>29</v>
      </c>
      <c r="D158" s="2" t="s">
        <v>71</v>
      </c>
      <c r="E158" s="2" t="s">
        <v>28</v>
      </c>
      <c r="F158" s="4" t="b">
        <f>FALSE()</f>
        <v>0</v>
      </c>
      <c r="G158" s="2" t="s">
        <v>90</v>
      </c>
      <c r="H158" s="2" t="str">
        <f t="shared" si="2"/>
        <v>llama|threshold_large|29</v>
      </c>
    </row>
    <row r="159" spans="1:8" x14ac:dyDescent="0.2">
      <c r="A159" s="2" t="s">
        <v>30</v>
      </c>
      <c r="B159" s="2" t="s">
        <v>31</v>
      </c>
      <c r="C159" s="2">
        <v>31</v>
      </c>
      <c r="D159" s="2" t="s">
        <v>71</v>
      </c>
      <c r="E159" s="2" t="s">
        <v>28</v>
      </c>
      <c r="F159" s="4" t="b">
        <f>FALSE()</f>
        <v>0</v>
      </c>
      <c r="G159" s="2" t="s">
        <v>91</v>
      </c>
      <c r="H159" s="2" t="str">
        <f t="shared" si="2"/>
        <v>llama|threshold_large|31</v>
      </c>
    </row>
    <row r="160" spans="1:8" x14ac:dyDescent="0.2">
      <c r="A160" s="2" t="s">
        <v>30</v>
      </c>
      <c r="B160" s="2" t="s">
        <v>31</v>
      </c>
      <c r="C160" s="2">
        <v>32</v>
      </c>
      <c r="D160" s="2" t="s">
        <v>71</v>
      </c>
      <c r="E160" s="2" t="s">
        <v>28</v>
      </c>
      <c r="F160" s="4" t="b">
        <f>FALSE()</f>
        <v>0</v>
      </c>
      <c r="G160" s="2" t="s">
        <v>92</v>
      </c>
      <c r="H160" s="2" t="str">
        <f t="shared" si="2"/>
        <v>llama|threshold_large|32</v>
      </c>
    </row>
    <row r="161" spans="1:8" x14ac:dyDescent="0.2">
      <c r="A161" s="2" t="s">
        <v>30</v>
      </c>
      <c r="B161" s="2" t="s">
        <v>31</v>
      </c>
      <c r="C161" s="2">
        <v>41</v>
      </c>
      <c r="D161" s="2" t="s">
        <v>73</v>
      </c>
      <c r="E161" s="2" t="s">
        <v>28</v>
      </c>
      <c r="F161" s="4" t="b">
        <f>FALSE()</f>
        <v>0</v>
      </c>
      <c r="G161" s="2" t="s">
        <v>93</v>
      </c>
      <c r="H161" s="2" t="str">
        <f t="shared" si="2"/>
        <v>llama|threshold_large|41</v>
      </c>
    </row>
    <row r="162" spans="1:8" x14ac:dyDescent="0.2">
      <c r="A162" s="2" t="s">
        <v>8</v>
      </c>
      <c r="B162" s="2" t="s">
        <v>32</v>
      </c>
      <c r="C162" s="2">
        <v>1</v>
      </c>
      <c r="D162" s="2" t="s">
        <v>73</v>
      </c>
      <c r="E162" s="2" t="s">
        <v>73</v>
      </c>
      <c r="F162" s="3" t="b">
        <f>TRUE()</f>
        <v>1</v>
      </c>
      <c r="G162" s="2" t="s">
        <v>72</v>
      </c>
      <c r="H162" s="2" t="str">
        <f t="shared" si="2"/>
        <v>gpt|action|1</v>
      </c>
    </row>
    <row r="163" spans="1:8" x14ac:dyDescent="0.2">
      <c r="A163" s="2" t="s">
        <v>8</v>
      </c>
      <c r="B163" s="2" t="s">
        <v>32</v>
      </c>
      <c r="C163" s="2">
        <v>2</v>
      </c>
      <c r="D163" s="2" t="s">
        <v>73</v>
      </c>
      <c r="E163" s="2" t="s">
        <v>73</v>
      </c>
      <c r="F163" s="3" t="b">
        <f>TRUE()</f>
        <v>1</v>
      </c>
      <c r="G163" s="2" t="s">
        <v>74</v>
      </c>
      <c r="H163" s="2" t="str">
        <f t="shared" si="2"/>
        <v>gpt|action|2</v>
      </c>
    </row>
    <row r="164" spans="1:8" x14ac:dyDescent="0.2">
      <c r="A164" s="2" t="s">
        <v>8</v>
      </c>
      <c r="B164" s="2" t="s">
        <v>32</v>
      </c>
      <c r="C164" s="2">
        <v>3</v>
      </c>
      <c r="D164" s="2" t="s">
        <v>73</v>
      </c>
      <c r="E164" s="2" t="s">
        <v>73</v>
      </c>
      <c r="F164" s="3" t="b">
        <f>TRUE()</f>
        <v>1</v>
      </c>
      <c r="G164" s="2" t="s">
        <v>75</v>
      </c>
      <c r="H164" s="2" t="str">
        <f t="shared" si="2"/>
        <v>gpt|action|3</v>
      </c>
    </row>
    <row r="165" spans="1:8" x14ac:dyDescent="0.2">
      <c r="A165" s="2" t="s">
        <v>8</v>
      </c>
      <c r="B165" s="2" t="s">
        <v>32</v>
      </c>
      <c r="C165" s="2">
        <v>4</v>
      </c>
      <c r="D165" s="2" t="s">
        <v>71</v>
      </c>
      <c r="E165" s="2" t="s">
        <v>71</v>
      </c>
      <c r="F165" s="3" t="b">
        <f>TRUE()</f>
        <v>1</v>
      </c>
      <c r="G165" s="2" t="s">
        <v>76</v>
      </c>
      <c r="H165" s="2" t="str">
        <f t="shared" si="2"/>
        <v>gpt|action|4</v>
      </c>
    </row>
    <row r="166" spans="1:8" x14ac:dyDescent="0.2">
      <c r="A166" s="2" t="s">
        <v>8</v>
      </c>
      <c r="B166" s="2" t="s">
        <v>32</v>
      </c>
      <c r="C166" s="2">
        <v>11</v>
      </c>
      <c r="D166" s="2" t="s">
        <v>73</v>
      </c>
      <c r="E166" s="2" t="s">
        <v>73</v>
      </c>
      <c r="F166" s="3" t="b">
        <f>TRUE()</f>
        <v>1</v>
      </c>
      <c r="G166" s="2" t="s">
        <v>77</v>
      </c>
      <c r="H166" s="2" t="str">
        <f t="shared" si="2"/>
        <v>gpt|action|11</v>
      </c>
    </row>
    <row r="167" spans="1:8" x14ac:dyDescent="0.2">
      <c r="A167" s="2" t="s">
        <v>8</v>
      </c>
      <c r="B167" s="2" t="s">
        <v>32</v>
      </c>
      <c r="C167" s="2">
        <v>12</v>
      </c>
      <c r="D167" s="2" t="s">
        <v>71</v>
      </c>
      <c r="E167" s="2" t="s">
        <v>71</v>
      </c>
      <c r="F167" s="3" t="b">
        <f>TRUE()</f>
        <v>1</v>
      </c>
      <c r="G167" s="2" t="s">
        <v>78</v>
      </c>
      <c r="H167" s="2" t="str">
        <f t="shared" si="2"/>
        <v>gpt|action|12</v>
      </c>
    </row>
    <row r="168" spans="1:8" x14ac:dyDescent="0.2">
      <c r="A168" s="2" t="s">
        <v>8</v>
      </c>
      <c r="B168" s="2" t="s">
        <v>32</v>
      </c>
      <c r="C168" s="2">
        <v>13</v>
      </c>
      <c r="D168" s="2" t="s">
        <v>71</v>
      </c>
      <c r="E168" s="2" t="s">
        <v>71</v>
      </c>
      <c r="F168" s="3" t="b">
        <f>TRUE()</f>
        <v>1</v>
      </c>
      <c r="G168" s="2" t="s">
        <v>79</v>
      </c>
      <c r="H168" s="2" t="str">
        <f t="shared" si="2"/>
        <v>gpt|action|13</v>
      </c>
    </row>
    <row r="169" spans="1:8" x14ac:dyDescent="0.2">
      <c r="A169" s="2" t="s">
        <v>8</v>
      </c>
      <c r="B169" s="2" t="s">
        <v>32</v>
      </c>
      <c r="C169" s="2">
        <v>14</v>
      </c>
      <c r="D169" s="2" t="s">
        <v>71</v>
      </c>
      <c r="E169" s="2" t="s">
        <v>73</v>
      </c>
      <c r="F169" s="4" t="b">
        <f>FALSE()</f>
        <v>0</v>
      </c>
      <c r="G169" s="2" t="s">
        <v>81</v>
      </c>
      <c r="H169" s="2" t="str">
        <f t="shared" si="2"/>
        <v>gpt|action|14</v>
      </c>
    </row>
    <row r="170" spans="1:8" x14ac:dyDescent="0.2">
      <c r="A170" s="2" t="s">
        <v>8</v>
      </c>
      <c r="B170" s="2" t="s">
        <v>32</v>
      </c>
      <c r="C170" s="2">
        <v>21</v>
      </c>
      <c r="D170" s="2" t="s">
        <v>73</v>
      </c>
      <c r="E170" s="2" t="s">
        <v>73</v>
      </c>
      <c r="F170" s="3" t="b">
        <f>TRUE()</f>
        <v>1</v>
      </c>
      <c r="G170" s="2" t="s">
        <v>82</v>
      </c>
      <c r="H170" s="2" t="str">
        <f t="shared" si="2"/>
        <v>gpt|action|21</v>
      </c>
    </row>
    <row r="171" spans="1:8" x14ac:dyDescent="0.2">
      <c r="A171" s="2" t="s">
        <v>8</v>
      </c>
      <c r="B171" s="2" t="s">
        <v>32</v>
      </c>
      <c r="C171" s="2">
        <v>22</v>
      </c>
      <c r="D171" s="2" t="s">
        <v>71</v>
      </c>
      <c r="E171" s="2" t="s">
        <v>73</v>
      </c>
      <c r="F171" s="4" t="b">
        <f>FALSE()</f>
        <v>0</v>
      </c>
      <c r="G171" s="2" t="s">
        <v>83</v>
      </c>
      <c r="H171" s="2" t="str">
        <f t="shared" si="2"/>
        <v>gpt|action|22</v>
      </c>
    </row>
    <row r="172" spans="1:8" x14ac:dyDescent="0.2">
      <c r="A172" s="2" t="s">
        <v>8</v>
      </c>
      <c r="B172" s="2" t="s">
        <v>32</v>
      </c>
      <c r="C172" s="2">
        <v>23</v>
      </c>
      <c r="D172" s="2" t="s">
        <v>71</v>
      </c>
      <c r="E172" s="2" t="s">
        <v>71</v>
      </c>
      <c r="F172" s="3" t="b">
        <f>TRUE()</f>
        <v>1</v>
      </c>
      <c r="G172" s="2" t="s">
        <v>84</v>
      </c>
      <c r="H172" s="2" t="str">
        <f t="shared" si="2"/>
        <v>gpt|action|23</v>
      </c>
    </row>
    <row r="173" spans="1:8" x14ac:dyDescent="0.2">
      <c r="A173" s="2" t="s">
        <v>8</v>
      </c>
      <c r="B173" s="2" t="s">
        <v>32</v>
      </c>
      <c r="C173" s="2">
        <v>24</v>
      </c>
      <c r="D173" s="2" t="s">
        <v>71</v>
      </c>
      <c r="E173" s="2" t="s">
        <v>73</v>
      </c>
      <c r="F173" s="4" t="b">
        <f>FALSE()</f>
        <v>0</v>
      </c>
      <c r="G173" s="2" t="s">
        <v>85</v>
      </c>
      <c r="H173" s="2" t="str">
        <f t="shared" si="2"/>
        <v>gpt|action|24</v>
      </c>
    </row>
    <row r="174" spans="1:8" x14ac:dyDescent="0.2">
      <c r="A174" s="2" t="s">
        <v>8</v>
      </c>
      <c r="B174" s="2" t="s">
        <v>32</v>
      </c>
      <c r="C174" s="2">
        <v>25</v>
      </c>
      <c r="D174" s="2" t="s">
        <v>71</v>
      </c>
      <c r="E174" s="2" t="s">
        <v>73</v>
      </c>
      <c r="F174" s="4" t="b">
        <f>FALSE()</f>
        <v>0</v>
      </c>
      <c r="G174" s="2" t="s">
        <v>86</v>
      </c>
      <c r="H174" s="2" t="str">
        <f t="shared" si="2"/>
        <v>gpt|action|25</v>
      </c>
    </row>
    <row r="175" spans="1:8" x14ac:dyDescent="0.2">
      <c r="A175" s="2" t="s">
        <v>8</v>
      </c>
      <c r="B175" s="2" t="s">
        <v>32</v>
      </c>
      <c r="C175" s="2">
        <v>26</v>
      </c>
      <c r="D175" s="2" t="s">
        <v>71</v>
      </c>
      <c r="E175" s="2" t="s">
        <v>71</v>
      </c>
      <c r="F175" s="3" t="b">
        <f>TRUE()</f>
        <v>1</v>
      </c>
      <c r="G175" s="2" t="s">
        <v>87</v>
      </c>
      <c r="H175" s="2" t="str">
        <f t="shared" si="2"/>
        <v>gpt|action|26</v>
      </c>
    </row>
    <row r="176" spans="1:8" x14ac:dyDescent="0.2">
      <c r="A176" s="2" t="s">
        <v>8</v>
      </c>
      <c r="B176" s="2" t="s">
        <v>32</v>
      </c>
      <c r="C176" s="2">
        <v>27</v>
      </c>
      <c r="D176" s="2" t="s">
        <v>71</v>
      </c>
      <c r="E176" s="2" t="s">
        <v>73</v>
      </c>
      <c r="F176" s="4" t="b">
        <f>FALSE()</f>
        <v>0</v>
      </c>
      <c r="G176" s="2" t="s">
        <v>88</v>
      </c>
      <c r="H176" s="2" t="str">
        <f t="shared" si="2"/>
        <v>gpt|action|27</v>
      </c>
    </row>
    <row r="177" spans="1:8" x14ac:dyDescent="0.2">
      <c r="A177" s="2" t="s">
        <v>8</v>
      </c>
      <c r="B177" s="2" t="s">
        <v>32</v>
      </c>
      <c r="C177" s="2">
        <v>28</v>
      </c>
      <c r="D177" s="2" t="s">
        <v>71</v>
      </c>
      <c r="E177" s="2" t="s">
        <v>73</v>
      </c>
      <c r="F177" s="4" t="b">
        <f>FALSE()</f>
        <v>0</v>
      </c>
      <c r="G177" s="2" t="s">
        <v>89</v>
      </c>
      <c r="H177" s="2" t="str">
        <f t="shared" si="2"/>
        <v>gpt|action|28</v>
      </c>
    </row>
    <row r="178" spans="1:8" x14ac:dyDescent="0.2">
      <c r="A178" s="2" t="s">
        <v>8</v>
      </c>
      <c r="B178" s="2" t="s">
        <v>32</v>
      </c>
      <c r="C178" s="2">
        <v>29</v>
      </c>
      <c r="D178" s="2" t="s">
        <v>71</v>
      </c>
      <c r="E178" s="2" t="s">
        <v>71</v>
      </c>
      <c r="F178" s="3" t="b">
        <f>TRUE()</f>
        <v>1</v>
      </c>
      <c r="G178" s="2" t="s">
        <v>90</v>
      </c>
      <c r="H178" s="2" t="str">
        <f t="shared" si="2"/>
        <v>gpt|action|29</v>
      </c>
    </row>
    <row r="179" spans="1:8" x14ac:dyDescent="0.2">
      <c r="A179" s="2" t="s">
        <v>8</v>
      </c>
      <c r="B179" s="2" t="s">
        <v>32</v>
      </c>
      <c r="C179" s="2">
        <v>31</v>
      </c>
      <c r="D179" s="2" t="s">
        <v>73</v>
      </c>
      <c r="E179" s="2" t="s">
        <v>73</v>
      </c>
      <c r="F179" s="3" t="b">
        <f>TRUE()</f>
        <v>1</v>
      </c>
      <c r="G179" s="2" t="s">
        <v>91</v>
      </c>
      <c r="H179" s="2" t="str">
        <f t="shared" si="2"/>
        <v>gpt|action|31</v>
      </c>
    </row>
    <row r="180" spans="1:8" x14ac:dyDescent="0.2">
      <c r="A180" s="2" t="s">
        <v>8</v>
      </c>
      <c r="B180" s="2" t="s">
        <v>32</v>
      </c>
      <c r="C180" s="2">
        <v>32</v>
      </c>
      <c r="D180" s="2" t="s">
        <v>73</v>
      </c>
      <c r="E180" s="2" t="s">
        <v>73</v>
      </c>
      <c r="F180" s="3" t="b">
        <f>TRUE()</f>
        <v>1</v>
      </c>
      <c r="G180" s="2" t="s">
        <v>92</v>
      </c>
      <c r="H180" s="2" t="str">
        <f t="shared" si="2"/>
        <v>gpt|action|32</v>
      </c>
    </row>
    <row r="181" spans="1:8" x14ac:dyDescent="0.2">
      <c r="A181" s="2" t="s">
        <v>8</v>
      </c>
      <c r="B181" s="2" t="s">
        <v>32</v>
      </c>
      <c r="C181" s="2">
        <v>41</v>
      </c>
      <c r="D181" s="2" t="s">
        <v>71</v>
      </c>
      <c r="E181" s="2" t="s">
        <v>71</v>
      </c>
      <c r="F181" s="3" t="b">
        <f>TRUE()</f>
        <v>1</v>
      </c>
      <c r="G181" s="2" t="s">
        <v>93</v>
      </c>
      <c r="H181" s="2" t="str">
        <f t="shared" si="2"/>
        <v>gpt|action|41</v>
      </c>
    </row>
    <row r="182" spans="1:8" x14ac:dyDescent="0.2">
      <c r="A182" s="2" t="s">
        <v>27</v>
      </c>
      <c r="B182" s="2" t="s">
        <v>32</v>
      </c>
      <c r="C182" s="2">
        <v>1</v>
      </c>
      <c r="D182" s="2" t="s">
        <v>73</v>
      </c>
      <c r="E182" s="2" t="s">
        <v>28</v>
      </c>
      <c r="F182" s="4" t="b">
        <f>FALSE()</f>
        <v>0</v>
      </c>
      <c r="G182" s="2" t="s">
        <v>72</v>
      </c>
      <c r="H182" s="2" t="str">
        <f t="shared" si="2"/>
        <v>claude|action|1</v>
      </c>
    </row>
    <row r="183" spans="1:8" x14ac:dyDescent="0.2">
      <c r="A183" s="2" t="s">
        <v>27</v>
      </c>
      <c r="B183" s="2" t="s">
        <v>32</v>
      </c>
      <c r="C183" s="2">
        <v>2</v>
      </c>
      <c r="D183" s="2" t="s">
        <v>73</v>
      </c>
      <c r="E183" s="2" t="s">
        <v>28</v>
      </c>
      <c r="F183" s="4" t="b">
        <f>FALSE()</f>
        <v>0</v>
      </c>
      <c r="G183" s="2" t="s">
        <v>74</v>
      </c>
      <c r="H183" s="2" t="str">
        <f t="shared" si="2"/>
        <v>claude|action|2</v>
      </c>
    </row>
    <row r="184" spans="1:8" x14ac:dyDescent="0.2">
      <c r="A184" s="2" t="s">
        <v>27</v>
      </c>
      <c r="B184" s="2" t="s">
        <v>32</v>
      </c>
      <c r="C184" s="2">
        <v>3</v>
      </c>
      <c r="D184" s="2" t="s">
        <v>73</v>
      </c>
      <c r="E184" s="2" t="s">
        <v>28</v>
      </c>
      <c r="F184" s="4" t="b">
        <f>FALSE()</f>
        <v>0</v>
      </c>
      <c r="G184" s="2" t="s">
        <v>75</v>
      </c>
      <c r="H184" s="2" t="str">
        <f t="shared" si="2"/>
        <v>claude|action|3</v>
      </c>
    </row>
    <row r="185" spans="1:8" x14ac:dyDescent="0.2">
      <c r="A185" s="2" t="s">
        <v>27</v>
      </c>
      <c r="B185" s="2" t="s">
        <v>32</v>
      </c>
      <c r="C185" s="2">
        <v>4</v>
      </c>
      <c r="D185" s="2" t="s">
        <v>71</v>
      </c>
      <c r="E185" s="2" t="s">
        <v>28</v>
      </c>
      <c r="F185" s="4" t="b">
        <f>FALSE()</f>
        <v>0</v>
      </c>
      <c r="G185" s="2" t="s">
        <v>76</v>
      </c>
      <c r="H185" s="2" t="str">
        <f t="shared" si="2"/>
        <v>claude|action|4</v>
      </c>
    </row>
    <row r="186" spans="1:8" x14ac:dyDescent="0.2">
      <c r="A186" s="2" t="s">
        <v>27</v>
      </c>
      <c r="B186" s="2" t="s">
        <v>32</v>
      </c>
      <c r="C186" s="2">
        <v>11</v>
      </c>
      <c r="D186" s="2" t="s">
        <v>73</v>
      </c>
      <c r="E186" s="2" t="s">
        <v>28</v>
      </c>
      <c r="F186" s="4" t="b">
        <f>FALSE()</f>
        <v>0</v>
      </c>
      <c r="G186" s="2" t="s">
        <v>77</v>
      </c>
      <c r="H186" s="2" t="str">
        <f t="shared" si="2"/>
        <v>claude|action|11</v>
      </c>
    </row>
    <row r="187" spans="1:8" x14ac:dyDescent="0.2">
      <c r="A187" s="2" t="s">
        <v>27</v>
      </c>
      <c r="B187" s="2" t="s">
        <v>32</v>
      </c>
      <c r="C187" s="2">
        <v>12</v>
      </c>
      <c r="D187" s="2" t="s">
        <v>71</v>
      </c>
      <c r="E187" s="2" t="s">
        <v>28</v>
      </c>
      <c r="F187" s="4" t="b">
        <f>FALSE()</f>
        <v>0</v>
      </c>
      <c r="G187" s="2" t="s">
        <v>78</v>
      </c>
      <c r="H187" s="2" t="str">
        <f t="shared" si="2"/>
        <v>claude|action|12</v>
      </c>
    </row>
    <row r="188" spans="1:8" x14ac:dyDescent="0.2">
      <c r="A188" s="2" t="s">
        <v>27</v>
      </c>
      <c r="B188" s="2" t="s">
        <v>32</v>
      </c>
      <c r="C188" s="2">
        <v>13</v>
      </c>
      <c r="D188" s="2" t="s">
        <v>71</v>
      </c>
      <c r="E188" s="2" t="s">
        <v>28</v>
      </c>
      <c r="F188" s="4" t="b">
        <f>FALSE()</f>
        <v>0</v>
      </c>
      <c r="G188" s="2" t="s">
        <v>79</v>
      </c>
      <c r="H188" s="2" t="str">
        <f t="shared" si="2"/>
        <v>claude|action|13</v>
      </c>
    </row>
    <row r="189" spans="1:8" x14ac:dyDescent="0.2">
      <c r="A189" s="2" t="s">
        <v>27</v>
      </c>
      <c r="B189" s="2" t="s">
        <v>32</v>
      </c>
      <c r="C189" s="2">
        <v>14</v>
      </c>
      <c r="D189" s="2" t="s">
        <v>71</v>
      </c>
      <c r="E189" s="2" t="s">
        <v>28</v>
      </c>
      <c r="F189" s="4" t="b">
        <f>FALSE()</f>
        <v>0</v>
      </c>
      <c r="G189" s="2" t="s">
        <v>81</v>
      </c>
      <c r="H189" s="2" t="str">
        <f t="shared" si="2"/>
        <v>claude|action|14</v>
      </c>
    </row>
    <row r="190" spans="1:8" x14ac:dyDescent="0.2">
      <c r="A190" s="2" t="s">
        <v>27</v>
      </c>
      <c r="B190" s="2" t="s">
        <v>32</v>
      </c>
      <c r="C190" s="2">
        <v>21</v>
      </c>
      <c r="D190" s="2" t="s">
        <v>73</v>
      </c>
      <c r="E190" s="2" t="s">
        <v>28</v>
      </c>
      <c r="F190" s="4" t="b">
        <f>FALSE()</f>
        <v>0</v>
      </c>
      <c r="G190" s="2" t="s">
        <v>82</v>
      </c>
      <c r="H190" s="2" t="str">
        <f t="shared" si="2"/>
        <v>claude|action|21</v>
      </c>
    </row>
    <row r="191" spans="1:8" x14ac:dyDescent="0.2">
      <c r="A191" s="2" t="s">
        <v>27</v>
      </c>
      <c r="B191" s="2" t="s">
        <v>32</v>
      </c>
      <c r="C191" s="2">
        <v>22</v>
      </c>
      <c r="D191" s="2" t="s">
        <v>71</v>
      </c>
      <c r="E191" s="2" t="s">
        <v>28</v>
      </c>
      <c r="F191" s="4" t="b">
        <f>FALSE()</f>
        <v>0</v>
      </c>
      <c r="G191" s="2" t="s">
        <v>83</v>
      </c>
      <c r="H191" s="2" t="str">
        <f t="shared" si="2"/>
        <v>claude|action|22</v>
      </c>
    </row>
    <row r="192" spans="1:8" x14ac:dyDescent="0.2">
      <c r="A192" s="2" t="s">
        <v>27</v>
      </c>
      <c r="B192" s="2" t="s">
        <v>32</v>
      </c>
      <c r="C192" s="2">
        <v>23</v>
      </c>
      <c r="D192" s="2" t="s">
        <v>71</v>
      </c>
      <c r="E192" s="2" t="s">
        <v>28</v>
      </c>
      <c r="F192" s="4" t="b">
        <f>FALSE()</f>
        <v>0</v>
      </c>
      <c r="G192" s="2" t="s">
        <v>84</v>
      </c>
      <c r="H192" s="2" t="str">
        <f t="shared" si="2"/>
        <v>claude|action|23</v>
      </c>
    </row>
    <row r="193" spans="1:8" x14ac:dyDescent="0.2">
      <c r="A193" s="2" t="s">
        <v>27</v>
      </c>
      <c r="B193" s="2" t="s">
        <v>32</v>
      </c>
      <c r="C193" s="2">
        <v>24</v>
      </c>
      <c r="D193" s="2" t="s">
        <v>71</v>
      </c>
      <c r="E193" s="2" t="s">
        <v>28</v>
      </c>
      <c r="F193" s="4" t="b">
        <f>FALSE()</f>
        <v>0</v>
      </c>
      <c r="G193" s="2" t="s">
        <v>85</v>
      </c>
      <c r="H193" s="2" t="str">
        <f t="shared" si="2"/>
        <v>claude|action|24</v>
      </c>
    </row>
    <row r="194" spans="1:8" x14ac:dyDescent="0.2">
      <c r="A194" s="2" t="s">
        <v>27</v>
      </c>
      <c r="B194" s="2" t="s">
        <v>32</v>
      </c>
      <c r="C194" s="2">
        <v>25</v>
      </c>
      <c r="D194" s="2" t="s">
        <v>71</v>
      </c>
      <c r="E194" s="2" t="s">
        <v>28</v>
      </c>
      <c r="F194" s="4" t="b">
        <f>FALSE()</f>
        <v>0</v>
      </c>
      <c r="G194" s="2" t="s">
        <v>86</v>
      </c>
      <c r="H194" s="2" t="str">
        <f t="shared" ref="H194:H241" si="3">A194&amp;"|"&amp;B194&amp;"|"&amp;C194</f>
        <v>claude|action|25</v>
      </c>
    </row>
    <row r="195" spans="1:8" x14ac:dyDescent="0.2">
      <c r="A195" s="2" t="s">
        <v>27</v>
      </c>
      <c r="B195" s="2" t="s">
        <v>32</v>
      </c>
      <c r="C195" s="2">
        <v>26</v>
      </c>
      <c r="D195" s="2" t="s">
        <v>71</v>
      </c>
      <c r="E195" s="2" t="s">
        <v>28</v>
      </c>
      <c r="F195" s="4" t="b">
        <f>FALSE()</f>
        <v>0</v>
      </c>
      <c r="G195" s="2" t="s">
        <v>87</v>
      </c>
      <c r="H195" s="2" t="str">
        <f t="shared" si="3"/>
        <v>claude|action|26</v>
      </c>
    </row>
    <row r="196" spans="1:8" x14ac:dyDescent="0.2">
      <c r="A196" s="2" t="s">
        <v>27</v>
      </c>
      <c r="B196" s="2" t="s">
        <v>32</v>
      </c>
      <c r="C196" s="2">
        <v>27</v>
      </c>
      <c r="D196" s="2" t="s">
        <v>71</v>
      </c>
      <c r="E196" s="2" t="s">
        <v>28</v>
      </c>
      <c r="F196" s="4" t="b">
        <f>FALSE()</f>
        <v>0</v>
      </c>
      <c r="G196" s="2" t="s">
        <v>88</v>
      </c>
      <c r="H196" s="2" t="str">
        <f t="shared" si="3"/>
        <v>claude|action|27</v>
      </c>
    </row>
    <row r="197" spans="1:8" x14ac:dyDescent="0.2">
      <c r="A197" s="2" t="s">
        <v>27</v>
      </c>
      <c r="B197" s="2" t="s">
        <v>32</v>
      </c>
      <c r="C197" s="2">
        <v>28</v>
      </c>
      <c r="D197" s="2" t="s">
        <v>71</v>
      </c>
      <c r="E197" s="2" t="s">
        <v>28</v>
      </c>
      <c r="F197" s="4" t="b">
        <f>FALSE()</f>
        <v>0</v>
      </c>
      <c r="G197" s="2" t="s">
        <v>89</v>
      </c>
      <c r="H197" s="2" t="str">
        <f t="shared" si="3"/>
        <v>claude|action|28</v>
      </c>
    </row>
    <row r="198" spans="1:8" x14ac:dyDescent="0.2">
      <c r="A198" s="2" t="s">
        <v>27</v>
      </c>
      <c r="B198" s="2" t="s">
        <v>32</v>
      </c>
      <c r="C198" s="2">
        <v>29</v>
      </c>
      <c r="D198" s="2" t="s">
        <v>71</v>
      </c>
      <c r="E198" s="2" t="s">
        <v>28</v>
      </c>
      <c r="F198" s="4" t="b">
        <f>FALSE()</f>
        <v>0</v>
      </c>
      <c r="G198" s="2" t="s">
        <v>90</v>
      </c>
      <c r="H198" s="2" t="str">
        <f t="shared" si="3"/>
        <v>claude|action|29</v>
      </c>
    </row>
    <row r="199" spans="1:8" x14ac:dyDescent="0.2">
      <c r="A199" s="2" t="s">
        <v>27</v>
      </c>
      <c r="B199" s="2" t="s">
        <v>32</v>
      </c>
      <c r="C199" s="2">
        <v>31</v>
      </c>
      <c r="D199" s="2" t="s">
        <v>73</v>
      </c>
      <c r="E199" s="2" t="s">
        <v>28</v>
      </c>
      <c r="F199" s="4" t="b">
        <f>FALSE()</f>
        <v>0</v>
      </c>
      <c r="G199" s="2" t="s">
        <v>91</v>
      </c>
      <c r="H199" s="2" t="str">
        <f t="shared" si="3"/>
        <v>claude|action|31</v>
      </c>
    </row>
    <row r="200" spans="1:8" x14ac:dyDescent="0.2">
      <c r="A200" s="2" t="s">
        <v>27</v>
      </c>
      <c r="B200" s="2" t="s">
        <v>32</v>
      </c>
      <c r="C200" s="2">
        <v>32</v>
      </c>
      <c r="D200" s="2" t="s">
        <v>73</v>
      </c>
      <c r="E200" s="2" t="s">
        <v>28</v>
      </c>
      <c r="F200" s="4" t="b">
        <f>FALSE()</f>
        <v>0</v>
      </c>
      <c r="G200" s="2" t="s">
        <v>92</v>
      </c>
      <c r="H200" s="2" t="str">
        <f t="shared" si="3"/>
        <v>claude|action|32</v>
      </c>
    </row>
    <row r="201" spans="1:8" x14ac:dyDescent="0.2">
      <c r="A201" s="2" t="s">
        <v>27</v>
      </c>
      <c r="B201" s="2" t="s">
        <v>32</v>
      </c>
      <c r="C201" s="2">
        <v>41</v>
      </c>
      <c r="D201" s="2" t="s">
        <v>71</v>
      </c>
      <c r="E201" s="2" t="s">
        <v>28</v>
      </c>
      <c r="F201" s="4" t="b">
        <f>FALSE()</f>
        <v>0</v>
      </c>
      <c r="G201" s="2" t="s">
        <v>93</v>
      </c>
      <c r="H201" s="2" t="str">
        <f t="shared" si="3"/>
        <v>claude|action|41</v>
      </c>
    </row>
    <row r="202" spans="1:8" x14ac:dyDescent="0.2">
      <c r="A202" s="2" t="s">
        <v>29</v>
      </c>
      <c r="B202" s="2" t="s">
        <v>32</v>
      </c>
      <c r="C202" s="2">
        <v>1</v>
      </c>
      <c r="D202" s="2" t="s">
        <v>73</v>
      </c>
      <c r="E202" s="2" t="s">
        <v>73</v>
      </c>
      <c r="F202" s="3" t="b">
        <f>TRUE()</f>
        <v>1</v>
      </c>
      <c r="G202" s="2" t="s">
        <v>72</v>
      </c>
      <c r="H202" s="2" t="str">
        <f t="shared" si="3"/>
        <v>gemini|action|1</v>
      </c>
    </row>
    <row r="203" spans="1:8" x14ac:dyDescent="0.2">
      <c r="A203" s="2" t="s">
        <v>29</v>
      </c>
      <c r="B203" s="2" t="s">
        <v>32</v>
      </c>
      <c r="C203" s="2">
        <v>2</v>
      </c>
      <c r="D203" s="2" t="s">
        <v>73</v>
      </c>
      <c r="E203" s="2" t="s">
        <v>73</v>
      </c>
      <c r="F203" s="3" t="b">
        <f>TRUE()</f>
        <v>1</v>
      </c>
      <c r="G203" s="2" t="s">
        <v>74</v>
      </c>
      <c r="H203" s="2" t="str">
        <f t="shared" si="3"/>
        <v>gemini|action|2</v>
      </c>
    </row>
    <row r="204" spans="1:8" x14ac:dyDescent="0.2">
      <c r="A204" s="2" t="s">
        <v>29</v>
      </c>
      <c r="B204" s="2" t="s">
        <v>32</v>
      </c>
      <c r="C204" s="2">
        <v>3</v>
      </c>
      <c r="D204" s="2" t="s">
        <v>73</v>
      </c>
      <c r="E204" s="2" t="s">
        <v>73</v>
      </c>
      <c r="F204" s="3" t="b">
        <f>TRUE()</f>
        <v>1</v>
      </c>
      <c r="G204" s="2" t="s">
        <v>75</v>
      </c>
      <c r="H204" s="2" t="str">
        <f t="shared" si="3"/>
        <v>gemini|action|3</v>
      </c>
    </row>
    <row r="205" spans="1:8" x14ac:dyDescent="0.2">
      <c r="A205" s="2" t="s">
        <v>29</v>
      </c>
      <c r="B205" s="2" t="s">
        <v>32</v>
      </c>
      <c r="C205" s="2">
        <v>4</v>
      </c>
      <c r="D205" s="2" t="s">
        <v>71</v>
      </c>
      <c r="E205" s="2" t="s">
        <v>73</v>
      </c>
      <c r="F205" s="4" t="b">
        <f>FALSE()</f>
        <v>0</v>
      </c>
      <c r="G205" s="2" t="s">
        <v>76</v>
      </c>
      <c r="H205" s="2" t="str">
        <f t="shared" si="3"/>
        <v>gemini|action|4</v>
      </c>
    </row>
    <row r="206" spans="1:8" x14ac:dyDescent="0.2">
      <c r="A206" s="2" t="s">
        <v>29</v>
      </c>
      <c r="B206" s="2" t="s">
        <v>32</v>
      </c>
      <c r="C206" s="2">
        <v>11</v>
      </c>
      <c r="D206" s="2" t="s">
        <v>73</v>
      </c>
      <c r="E206" s="2" t="s">
        <v>73</v>
      </c>
      <c r="F206" s="3" t="b">
        <f>TRUE()</f>
        <v>1</v>
      </c>
      <c r="G206" s="2" t="s">
        <v>77</v>
      </c>
      <c r="H206" s="2" t="str">
        <f t="shared" si="3"/>
        <v>gemini|action|11</v>
      </c>
    </row>
    <row r="207" spans="1:8" x14ac:dyDescent="0.2">
      <c r="A207" s="2" t="s">
        <v>29</v>
      </c>
      <c r="B207" s="2" t="s">
        <v>32</v>
      </c>
      <c r="C207" s="2">
        <v>12</v>
      </c>
      <c r="D207" s="2" t="s">
        <v>71</v>
      </c>
      <c r="E207" s="2" t="s">
        <v>71</v>
      </c>
      <c r="F207" s="3" t="b">
        <f>TRUE()</f>
        <v>1</v>
      </c>
      <c r="G207" s="2" t="s">
        <v>78</v>
      </c>
      <c r="H207" s="2" t="str">
        <f t="shared" si="3"/>
        <v>gemini|action|12</v>
      </c>
    </row>
    <row r="208" spans="1:8" x14ac:dyDescent="0.2">
      <c r="A208" s="2" t="s">
        <v>29</v>
      </c>
      <c r="B208" s="2" t="s">
        <v>32</v>
      </c>
      <c r="C208" s="2">
        <v>13</v>
      </c>
      <c r="D208" s="2" t="s">
        <v>71</v>
      </c>
      <c r="E208" s="2" t="s">
        <v>71</v>
      </c>
      <c r="F208" s="3" t="b">
        <f>TRUE()</f>
        <v>1</v>
      </c>
      <c r="G208" s="2" t="s">
        <v>79</v>
      </c>
      <c r="H208" s="2" t="str">
        <f t="shared" si="3"/>
        <v>gemini|action|13</v>
      </c>
    </row>
    <row r="209" spans="1:8" x14ac:dyDescent="0.2">
      <c r="A209" s="2" t="s">
        <v>29</v>
      </c>
      <c r="B209" s="2" t="s">
        <v>32</v>
      </c>
      <c r="C209" s="2">
        <v>14</v>
      </c>
      <c r="D209" s="2" t="s">
        <v>71</v>
      </c>
      <c r="E209" s="2" t="s">
        <v>73</v>
      </c>
      <c r="F209" s="4" t="b">
        <f>FALSE()</f>
        <v>0</v>
      </c>
      <c r="G209" s="2" t="s">
        <v>81</v>
      </c>
      <c r="H209" s="2" t="str">
        <f t="shared" si="3"/>
        <v>gemini|action|14</v>
      </c>
    </row>
    <row r="210" spans="1:8" x14ac:dyDescent="0.2">
      <c r="A210" s="2" t="s">
        <v>29</v>
      </c>
      <c r="B210" s="2" t="s">
        <v>32</v>
      </c>
      <c r="C210" s="2">
        <v>21</v>
      </c>
      <c r="D210" s="2" t="s">
        <v>73</v>
      </c>
      <c r="E210" s="2" t="s">
        <v>73</v>
      </c>
      <c r="F210" s="3" t="b">
        <f>TRUE()</f>
        <v>1</v>
      </c>
      <c r="G210" s="2" t="s">
        <v>82</v>
      </c>
      <c r="H210" s="2" t="str">
        <f t="shared" si="3"/>
        <v>gemini|action|21</v>
      </c>
    </row>
    <row r="211" spans="1:8" x14ac:dyDescent="0.2">
      <c r="A211" s="2" t="s">
        <v>29</v>
      </c>
      <c r="B211" s="2" t="s">
        <v>32</v>
      </c>
      <c r="C211" s="2">
        <v>22</v>
      </c>
      <c r="D211" s="2" t="s">
        <v>71</v>
      </c>
      <c r="E211" s="2" t="s">
        <v>73</v>
      </c>
      <c r="F211" s="4" t="b">
        <f>FALSE()</f>
        <v>0</v>
      </c>
      <c r="G211" s="2" t="s">
        <v>83</v>
      </c>
      <c r="H211" s="2" t="str">
        <f t="shared" si="3"/>
        <v>gemini|action|22</v>
      </c>
    </row>
    <row r="212" spans="1:8" x14ac:dyDescent="0.2">
      <c r="A212" s="2" t="s">
        <v>29</v>
      </c>
      <c r="B212" s="2" t="s">
        <v>32</v>
      </c>
      <c r="C212" s="2">
        <v>23</v>
      </c>
      <c r="D212" s="2" t="s">
        <v>71</v>
      </c>
      <c r="E212" s="2" t="s">
        <v>73</v>
      </c>
      <c r="F212" s="4" t="b">
        <f>FALSE()</f>
        <v>0</v>
      </c>
      <c r="G212" s="2" t="s">
        <v>84</v>
      </c>
      <c r="H212" s="2" t="str">
        <f t="shared" si="3"/>
        <v>gemini|action|23</v>
      </c>
    </row>
    <row r="213" spans="1:8" x14ac:dyDescent="0.2">
      <c r="A213" s="2" t="s">
        <v>29</v>
      </c>
      <c r="B213" s="2" t="s">
        <v>32</v>
      </c>
      <c r="C213" s="2">
        <v>24</v>
      </c>
      <c r="D213" s="2" t="s">
        <v>71</v>
      </c>
      <c r="E213" s="2" t="s">
        <v>73</v>
      </c>
      <c r="F213" s="4" t="b">
        <f>FALSE()</f>
        <v>0</v>
      </c>
      <c r="G213" s="2" t="s">
        <v>85</v>
      </c>
      <c r="H213" s="2" t="str">
        <f t="shared" si="3"/>
        <v>gemini|action|24</v>
      </c>
    </row>
    <row r="214" spans="1:8" x14ac:dyDescent="0.2">
      <c r="A214" s="2" t="s">
        <v>29</v>
      </c>
      <c r="B214" s="2" t="s">
        <v>32</v>
      </c>
      <c r="C214" s="2">
        <v>25</v>
      </c>
      <c r="D214" s="2" t="s">
        <v>71</v>
      </c>
      <c r="E214" s="2" t="s">
        <v>73</v>
      </c>
      <c r="F214" s="4" t="b">
        <f>FALSE()</f>
        <v>0</v>
      </c>
      <c r="G214" s="2" t="s">
        <v>86</v>
      </c>
      <c r="H214" s="2" t="str">
        <f t="shared" si="3"/>
        <v>gemini|action|25</v>
      </c>
    </row>
    <row r="215" spans="1:8" x14ac:dyDescent="0.2">
      <c r="A215" s="2" t="s">
        <v>29</v>
      </c>
      <c r="B215" s="2" t="s">
        <v>32</v>
      </c>
      <c r="C215" s="2">
        <v>26</v>
      </c>
      <c r="D215" s="2" t="s">
        <v>71</v>
      </c>
      <c r="E215" s="2" t="s">
        <v>73</v>
      </c>
      <c r="F215" s="4" t="b">
        <f>FALSE()</f>
        <v>0</v>
      </c>
      <c r="G215" s="2" t="s">
        <v>87</v>
      </c>
      <c r="H215" s="2" t="str">
        <f t="shared" si="3"/>
        <v>gemini|action|26</v>
      </c>
    </row>
    <row r="216" spans="1:8" x14ac:dyDescent="0.2">
      <c r="A216" s="2" t="s">
        <v>29</v>
      </c>
      <c r="B216" s="2" t="s">
        <v>32</v>
      </c>
      <c r="C216" s="2">
        <v>27</v>
      </c>
      <c r="D216" s="2" t="s">
        <v>71</v>
      </c>
      <c r="E216" s="2" t="s">
        <v>73</v>
      </c>
      <c r="F216" s="4" t="b">
        <f>FALSE()</f>
        <v>0</v>
      </c>
      <c r="G216" s="2" t="s">
        <v>88</v>
      </c>
      <c r="H216" s="2" t="str">
        <f t="shared" si="3"/>
        <v>gemini|action|27</v>
      </c>
    </row>
    <row r="217" spans="1:8" x14ac:dyDescent="0.2">
      <c r="A217" s="2" t="s">
        <v>29</v>
      </c>
      <c r="B217" s="2" t="s">
        <v>32</v>
      </c>
      <c r="C217" s="2">
        <v>28</v>
      </c>
      <c r="D217" s="2" t="s">
        <v>71</v>
      </c>
      <c r="E217" s="2" t="s">
        <v>73</v>
      </c>
      <c r="F217" s="4" t="b">
        <f>FALSE()</f>
        <v>0</v>
      </c>
      <c r="G217" s="2" t="s">
        <v>89</v>
      </c>
      <c r="H217" s="2" t="str">
        <f t="shared" si="3"/>
        <v>gemini|action|28</v>
      </c>
    </row>
    <row r="218" spans="1:8" x14ac:dyDescent="0.2">
      <c r="A218" s="2" t="s">
        <v>29</v>
      </c>
      <c r="B218" s="2" t="s">
        <v>32</v>
      </c>
      <c r="C218" s="2">
        <v>29</v>
      </c>
      <c r="D218" s="2" t="s">
        <v>71</v>
      </c>
      <c r="E218" s="2" t="s">
        <v>73</v>
      </c>
      <c r="F218" s="4" t="b">
        <f>FALSE()</f>
        <v>0</v>
      </c>
      <c r="G218" s="2" t="s">
        <v>90</v>
      </c>
      <c r="H218" s="2" t="str">
        <f t="shared" si="3"/>
        <v>gemini|action|29</v>
      </c>
    </row>
    <row r="219" spans="1:8" x14ac:dyDescent="0.2">
      <c r="A219" s="2" t="s">
        <v>29</v>
      </c>
      <c r="B219" s="2" t="s">
        <v>32</v>
      </c>
      <c r="C219" s="2">
        <v>31</v>
      </c>
      <c r="D219" s="2" t="s">
        <v>73</v>
      </c>
      <c r="E219" s="2" t="s">
        <v>73</v>
      </c>
      <c r="F219" s="3" t="b">
        <f>TRUE()</f>
        <v>1</v>
      </c>
      <c r="G219" s="2" t="s">
        <v>91</v>
      </c>
      <c r="H219" s="2" t="str">
        <f t="shared" si="3"/>
        <v>gemini|action|31</v>
      </c>
    </row>
    <row r="220" spans="1:8" x14ac:dyDescent="0.2">
      <c r="A220" s="2" t="s">
        <v>29</v>
      </c>
      <c r="B220" s="2" t="s">
        <v>32</v>
      </c>
      <c r="C220" s="2">
        <v>32</v>
      </c>
      <c r="D220" s="2" t="s">
        <v>73</v>
      </c>
      <c r="E220" s="2" t="s">
        <v>73</v>
      </c>
      <c r="F220" s="3" t="b">
        <f>TRUE()</f>
        <v>1</v>
      </c>
      <c r="G220" s="2" t="s">
        <v>92</v>
      </c>
      <c r="H220" s="2" t="str">
        <f t="shared" si="3"/>
        <v>gemini|action|32</v>
      </c>
    </row>
    <row r="221" spans="1:8" x14ac:dyDescent="0.2">
      <c r="A221" s="2" t="s">
        <v>29</v>
      </c>
      <c r="B221" s="2" t="s">
        <v>32</v>
      </c>
      <c r="C221" s="2">
        <v>41</v>
      </c>
      <c r="D221" s="2" t="s">
        <v>71</v>
      </c>
      <c r="E221" s="2" t="s">
        <v>71</v>
      </c>
      <c r="F221" s="3" t="b">
        <f>TRUE()</f>
        <v>1</v>
      </c>
      <c r="G221" s="2" t="s">
        <v>93</v>
      </c>
      <c r="H221" s="2" t="str">
        <f t="shared" si="3"/>
        <v>gemini|action|41</v>
      </c>
    </row>
    <row r="222" spans="1:8" x14ac:dyDescent="0.2">
      <c r="A222" s="2" t="s">
        <v>30</v>
      </c>
      <c r="B222" s="2" t="s">
        <v>32</v>
      </c>
      <c r="C222" s="2">
        <v>1</v>
      </c>
      <c r="D222" s="2" t="s">
        <v>73</v>
      </c>
      <c r="E222" s="2" t="s">
        <v>28</v>
      </c>
      <c r="F222" s="4" t="b">
        <f>FALSE()</f>
        <v>0</v>
      </c>
      <c r="G222" s="2" t="s">
        <v>72</v>
      </c>
      <c r="H222" s="2" t="str">
        <f t="shared" si="3"/>
        <v>llama|action|1</v>
      </c>
    </row>
    <row r="223" spans="1:8" x14ac:dyDescent="0.2">
      <c r="A223" s="2" t="s">
        <v>30</v>
      </c>
      <c r="B223" s="2" t="s">
        <v>32</v>
      </c>
      <c r="C223" s="2">
        <v>2</v>
      </c>
      <c r="D223" s="2" t="s">
        <v>73</v>
      </c>
      <c r="E223" s="2" t="s">
        <v>28</v>
      </c>
      <c r="F223" s="4" t="b">
        <f>FALSE()</f>
        <v>0</v>
      </c>
      <c r="G223" s="2" t="s">
        <v>74</v>
      </c>
      <c r="H223" s="2" t="str">
        <f t="shared" si="3"/>
        <v>llama|action|2</v>
      </c>
    </row>
    <row r="224" spans="1:8" x14ac:dyDescent="0.2">
      <c r="A224" s="2" t="s">
        <v>30</v>
      </c>
      <c r="B224" s="2" t="s">
        <v>32</v>
      </c>
      <c r="C224" s="2">
        <v>3</v>
      </c>
      <c r="D224" s="2" t="s">
        <v>73</v>
      </c>
      <c r="E224" s="2" t="s">
        <v>28</v>
      </c>
      <c r="F224" s="4" t="b">
        <f>FALSE()</f>
        <v>0</v>
      </c>
      <c r="G224" s="2" t="s">
        <v>75</v>
      </c>
      <c r="H224" s="2" t="str">
        <f t="shared" si="3"/>
        <v>llama|action|3</v>
      </c>
    </row>
    <row r="225" spans="1:8" x14ac:dyDescent="0.2">
      <c r="A225" s="2" t="s">
        <v>30</v>
      </c>
      <c r="B225" s="2" t="s">
        <v>32</v>
      </c>
      <c r="C225" s="2">
        <v>4</v>
      </c>
      <c r="D225" s="2" t="s">
        <v>71</v>
      </c>
      <c r="E225" s="2" t="s">
        <v>28</v>
      </c>
      <c r="F225" s="4" t="b">
        <f>FALSE()</f>
        <v>0</v>
      </c>
      <c r="G225" s="2" t="s">
        <v>76</v>
      </c>
      <c r="H225" s="2" t="str">
        <f t="shared" si="3"/>
        <v>llama|action|4</v>
      </c>
    </row>
    <row r="226" spans="1:8" x14ac:dyDescent="0.2">
      <c r="A226" s="2" t="s">
        <v>30</v>
      </c>
      <c r="B226" s="2" t="s">
        <v>32</v>
      </c>
      <c r="C226" s="2">
        <v>11</v>
      </c>
      <c r="D226" s="2" t="s">
        <v>73</v>
      </c>
      <c r="E226" s="2" t="s">
        <v>28</v>
      </c>
      <c r="F226" s="4" t="b">
        <f>FALSE()</f>
        <v>0</v>
      </c>
      <c r="G226" s="2" t="s">
        <v>77</v>
      </c>
      <c r="H226" s="2" t="str">
        <f t="shared" si="3"/>
        <v>llama|action|11</v>
      </c>
    </row>
    <row r="227" spans="1:8" x14ac:dyDescent="0.2">
      <c r="A227" s="2" t="s">
        <v>30</v>
      </c>
      <c r="B227" s="2" t="s">
        <v>32</v>
      </c>
      <c r="C227" s="2">
        <v>12</v>
      </c>
      <c r="D227" s="2" t="s">
        <v>71</v>
      </c>
      <c r="E227" s="2" t="s">
        <v>28</v>
      </c>
      <c r="F227" s="4" t="b">
        <f>FALSE()</f>
        <v>0</v>
      </c>
      <c r="G227" s="2" t="s">
        <v>78</v>
      </c>
      <c r="H227" s="2" t="str">
        <f t="shared" si="3"/>
        <v>llama|action|12</v>
      </c>
    </row>
    <row r="228" spans="1:8" x14ac:dyDescent="0.2">
      <c r="A228" s="2" t="s">
        <v>30</v>
      </c>
      <c r="B228" s="2" t="s">
        <v>32</v>
      </c>
      <c r="C228" s="2">
        <v>13</v>
      </c>
      <c r="D228" s="2" t="s">
        <v>71</v>
      </c>
      <c r="E228" s="2" t="s">
        <v>28</v>
      </c>
      <c r="F228" s="4" t="b">
        <f>FALSE()</f>
        <v>0</v>
      </c>
      <c r="G228" s="2" t="s">
        <v>79</v>
      </c>
      <c r="H228" s="2" t="str">
        <f t="shared" si="3"/>
        <v>llama|action|13</v>
      </c>
    </row>
    <row r="229" spans="1:8" x14ac:dyDescent="0.2">
      <c r="A229" s="2" t="s">
        <v>30</v>
      </c>
      <c r="B229" s="2" t="s">
        <v>32</v>
      </c>
      <c r="C229" s="2">
        <v>14</v>
      </c>
      <c r="D229" s="2" t="s">
        <v>71</v>
      </c>
      <c r="E229" s="2" t="s">
        <v>28</v>
      </c>
      <c r="F229" s="4" t="b">
        <f>FALSE()</f>
        <v>0</v>
      </c>
      <c r="G229" s="2" t="s">
        <v>81</v>
      </c>
      <c r="H229" s="2" t="str">
        <f t="shared" si="3"/>
        <v>llama|action|14</v>
      </c>
    </row>
    <row r="230" spans="1:8" x14ac:dyDescent="0.2">
      <c r="A230" s="2" t="s">
        <v>30</v>
      </c>
      <c r="B230" s="2" t="s">
        <v>32</v>
      </c>
      <c r="C230" s="2">
        <v>21</v>
      </c>
      <c r="D230" s="2" t="s">
        <v>73</v>
      </c>
      <c r="E230" s="2" t="s">
        <v>28</v>
      </c>
      <c r="F230" s="4" t="b">
        <f>FALSE()</f>
        <v>0</v>
      </c>
      <c r="G230" s="2" t="s">
        <v>82</v>
      </c>
      <c r="H230" s="2" t="str">
        <f t="shared" si="3"/>
        <v>llama|action|21</v>
      </c>
    </row>
    <row r="231" spans="1:8" x14ac:dyDescent="0.2">
      <c r="A231" s="2" t="s">
        <v>30</v>
      </c>
      <c r="B231" s="2" t="s">
        <v>32</v>
      </c>
      <c r="C231" s="2">
        <v>22</v>
      </c>
      <c r="D231" s="2" t="s">
        <v>71</v>
      </c>
      <c r="E231" s="2" t="s">
        <v>28</v>
      </c>
      <c r="F231" s="4" t="b">
        <f>FALSE()</f>
        <v>0</v>
      </c>
      <c r="G231" s="2" t="s">
        <v>83</v>
      </c>
      <c r="H231" s="2" t="str">
        <f t="shared" si="3"/>
        <v>llama|action|22</v>
      </c>
    </row>
    <row r="232" spans="1:8" x14ac:dyDescent="0.2">
      <c r="A232" s="2" t="s">
        <v>30</v>
      </c>
      <c r="B232" s="2" t="s">
        <v>32</v>
      </c>
      <c r="C232" s="2">
        <v>23</v>
      </c>
      <c r="D232" s="2" t="s">
        <v>71</v>
      </c>
      <c r="E232" s="2" t="s">
        <v>28</v>
      </c>
      <c r="F232" s="4" t="b">
        <f>FALSE()</f>
        <v>0</v>
      </c>
      <c r="G232" s="2" t="s">
        <v>84</v>
      </c>
      <c r="H232" s="2" t="str">
        <f t="shared" si="3"/>
        <v>llama|action|23</v>
      </c>
    </row>
    <row r="233" spans="1:8" x14ac:dyDescent="0.2">
      <c r="A233" s="2" t="s">
        <v>30</v>
      </c>
      <c r="B233" s="2" t="s">
        <v>32</v>
      </c>
      <c r="C233" s="2">
        <v>24</v>
      </c>
      <c r="D233" s="2" t="s">
        <v>71</v>
      </c>
      <c r="E233" s="2" t="s">
        <v>28</v>
      </c>
      <c r="F233" s="4" t="b">
        <f>FALSE()</f>
        <v>0</v>
      </c>
      <c r="G233" s="2" t="s">
        <v>85</v>
      </c>
      <c r="H233" s="2" t="str">
        <f t="shared" si="3"/>
        <v>llama|action|24</v>
      </c>
    </row>
    <row r="234" spans="1:8" x14ac:dyDescent="0.2">
      <c r="A234" s="2" t="s">
        <v>30</v>
      </c>
      <c r="B234" s="2" t="s">
        <v>32</v>
      </c>
      <c r="C234" s="2">
        <v>25</v>
      </c>
      <c r="D234" s="2" t="s">
        <v>71</v>
      </c>
      <c r="E234" s="2" t="s">
        <v>28</v>
      </c>
      <c r="F234" s="4" t="b">
        <f>FALSE()</f>
        <v>0</v>
      </c>
      <c r="G234" s="2" t="s">
        <v>86</v>
      </c>
      <c r="H234" s="2" t="str">
        <f t="shared" si="3"/>
        <v>llama|action|25</v>
      </c>
    </row>
    <row r="235" spans="1:8" x14ac:dyDescent="0.2">
      <c r="A235" s="2" t="s">
        <v>30</v>
      </c>
      <c r="B235" s="2" t="s">
        <v>32</v>
      </c>
      <c r="C235" s="2">
        <v>26</v>
      </c>
      <c r="D235" s="2" t="s">
        <v>71</v>
      </c>
      <c r="E235" s="2" t="s">
        <v>28</v>
      </c>
      <c r="F235" s="4" t="b">
        <f>FALSE()</f>
        <v>0</v>
      </c>
      <c r="G235" s="2" t="s">
        <v>87</v>
      </c>
      <c r="H235" s="2" t="str">
        <f t="shared" si="3"/>
        <v>llama|action|26</v>
      </c>
    </row>
    <row r="236" spans="1:8" x14ac:dyDescent="0.2">
      <c r="A236" s="2" t="s">
        <v>30</v>
      </c>
      <c r="B236" s="2" t="s">
        <v>32</v>
      </c>
      <c r="C236" s="2">
        <v>27</v>
      </c>
      <c r="D236" s="2" t="s">
        <v>71</v>
      </c>
      <c r="E236" s="2" t="s">
        <v>28</v>
      </c>
      <c r="F236" s="4" t="b">
        <f>FALSE()</f>
        <v>0</v>
      </c>
      <c r="G236" s="2" t="s">
        <v>88</v>
      </c>
      <c r="H236" s="2" t="str">
        <f t="shared" si="3"/>
        <v>llama|action|27</v>
      </c>
    </row>
    <row r="237" spans="1:8" x14ac:dyDescent="0.2">
      <c r="A237" s="2" t="s">
        <v>30</v>
      </c>
      <c r="B237" s="2" t="s">
        <v>32</v>
      </c>
      <c r="C237" s="2">
        <v>28</v>
      </c>
      <c r="D237" s="2" t="s">
        <v>71</v>
      </c>
      <c r="E237" s="2" t="s">
        <v>28</v>
      </c>
      <c r="F237" s="4" t="b">
        <f>FALSE()</f>
        <v>0</v>
      </c>
      <c r="G237" s="2" t="s">
        <v>89</v>
      </c>
      <c r="H237" s="2" t="str">
        <f t="shared" si="3"/>
        <v>llama|action|28</v>
      </c>
    </row>
    <row r="238" spans="1:8" x14ac:dyDescent="0.2">
      <c r="A238" s="2" t="s">
        <v>30</v>
      </c>
      <c r="B238" s="2" t="s">
        <v>32</v>
      </c>
      <c r="C238" s="2">
        <v>29</v>
      </c>
      <c r="D238" s="2" t="s">
        <v>71</v>
      </c>
      <c r="E238" s="2" t="s">
        <v>28</v>
      </c>
      <c r="F238" s="4" t="b">
        <f>FALSE()</f>
        <v>0</v>
      </c>
      <c r="G238" s="2" t="s">
        <v>90</v>
      </c>
      <c r="H238" s="2" t="str">
        <f t="shared" si="3"/>
        <v>llama|action|29</v>
      </c>
    </row>
    <row r="239" spans="1:8" x14ac:dyDescent="0.2">
      <c r="A239" s="2" t="s">
        <v>30</v>
      </c>
      <c r="B239" s="2" t="s">
        <v>32</v>
      </c>
      <c r="C239" s="2">
        <v>31</v>
      </c>
      <c r="D239" s="2" t="s">
        <v>73</v>
      </c>
      <c r="E239" s="2" t="s">
        <v>28</v>
      </c>
      <c r="F239" s="4" t="b">
        <f>FALSE()</f>
        <v>0</v>
      </c>
      <c r="G239" s="2" t="s">
        <v>91</v>
      </c>
      <c r="H239" s="2" t="str">
        <f t="shared" si="3"/>
        <v>llama|action|31</v>
      </c>
    </row>
    <row r="240" spans="1:8" x14ac:dyDescent="0.2">
      <c r="A240" s="2" t="s">
        <v>30</v>
      </c>
      <c r="B240" s="2" t="s">
        <v>32</v>
      </c>
      <c r="C240" s="2">
        <v>32</v>
      </c>
      <c r="D240" s="2" t="s">
        <v>73</v>
      </c>
      <c r="E240" s="2" t="s">
        <v>28</v>
      </c>
      <c r="F240" s="4" t="b">
        <f>FALSE()</f>
        <v>0</v>
      </c>
      <c r="G240" s="2" t="s">
        <v>92</v>
      </c>
      <c r="H240" s="2" t="str">
        <f t="shared" si="3"/>
        <v>llama|action|32</v>
      </c>
    </row>
    <row r="241" spans="1:8" x14ac:dyDescent="0.2">
      <c r="A241" s="2" t="s">
        <v>30</v>
      </c>
      <c r="B241" s="2" t="s">
        <v>32</v>
      </c>
      <c r="C241" s="2">
        <v>41</v>
      </c>
      <c r="D241" s="2" t="s">
        <v>71</v>
      </c>
      <c r="E241" s="2" t="s">
        <v>28</v>
      </c>
      <c r="F241" s="4" t="b">
        <f>FALSE()</f>
        <v>0</v>
      </c>
      <c r="G241" s="2" t="s">
        <v>93</v>
      </c>
      <c r="H241" s="2" t="str">
        <f t="shared" si="3"/>
        <v>llama|action|41</v>
      </c>
    </row>
    <row r="243" spans="1:8" x14ac:dyDescent="0.2">
      <c r="A243" s="1" t="s">
        <v>0</v>
      </c>
      <c r="B243" s="1" t="s">
        <v>1</v>
      </c>
      <c r="C243" s="1" t="s">
        <v>5</v>
      </c>
      <c r="D243" s="1" t="s">
        <v>33</v>
      </c>
      <c r="E243" s="1" t="s">
        <v>34</v>
      </c>
      <c r="F243" s="1" t="s">
        <v>35</v>
      </c>
    </row>
    <row r="244" spans="1:8" x14ac:dyDescent="0.2">
      <c r="A244" s="2" t="s">
        <v>8</v>
      </c>
      <c r="B244" s="2" t="s">
        <v>9</v>
      </c>
      <c r="C244" s="2">
        <f>COUNTIFS(A2:A241,"gpt", B2:B241,"threshold_small", F2:F241,TRUE)</f>
        <v>10</v>
      </c>
      <c r="D244" s="2">
        <v>20</v>
      </c>
      <c r="E244" s="5">
        <f t="shared" ref="E244:E255" si="4">IF(D244=0,0,C244/D244)</f>
        <v>0.5</v>
      </c>
      <c r="F244" s="2">
        <f>COUNTIFS(A60:A239,"gpt", B60:B239,"threshold_small", E60:E239,"PARSE_ERROR")</f>
        <v>0</v>
      </c>
    </row>
    <row r="245" spans="1:8" x14ac:dyDescent="0.2">
      <c r="A245" s="2" t="s">
        <v>27</v>
      </c>
      <c r="B245" s="2" t="s">
        <v>9</v>
      </c>
      <c r="C245" s="2">
        <f>COUNTIFS(A2:A241,"claude", B2:B241,"threshold_small", F2:F241,TRUE)</f>
        <v>0</v>
      </c>
      <c r="D245" s="2">
        <v>20</v>
      </c>
      <c r="E245" s="5">
        <f t="shared" si="4"/>
        <v>0</v>
      </c>
      <c r="F245" s="2">
        <f>COUNTIFS(A60:A239,"claude", B60:B239,"threshold_small", E60:E239,"PARSE_ERROR")</f>
        <v>0</v>
      </c>
    </row>
    <row r="246" spans="1:8" x14ac:dyDescent="0.2">
      <c r="A246" s="2" t="s">
        <v>29</v>
      </c>
      <c r="B246" s="2" t="s">
        <v>9</v>
      </c>
      <c r="C246" s="2">
        <f>COUNTIFS(A2:A241,"gemini", B2:B241,"threshold_small", F2:F241,TRUE)</f>
        <v>9</v>
      </c>
      <c r="D246" s="2">
        <v>20</v>
      </c>
      <c r="E246" s="5">
        <f t="shared" si="4"/>
        <v>0.45</v>
      </c>
      <c r="F246" s="2">
        <f>COUNTIFS(A60:A239,"gemini", B60:B239,"threshold_small", E60:E239,"PARSE_ERROR")</f>
        <v>0</v>
      </c>
    </row>
    <row r="247" spans="1:8" x14ac:dyDescent="0.2">
      <c r="A247" s="2" t="s">
        <v>30</v>
      </c>
      <c r="B247" s="2" t="s">
        <v>9</v>
      </c>
      <c r="C247" s="2">
        <f>COUNTIFS(A2:A241,"llama", B2:B241,"threshold_small", F2:F241,TRUE)</f>
        <v>0</v>
      </c>
      <c r="D247" s="2">
        <v>20</v>
      </c>
      <c r="E247" s="5">
        <f t="shared" si="4"/>
        <v>0</v>
      </c>
      <c r="F247" s="2">
        <f>COUNTIFS(A60:A239,"llama", B60:B239,"threshold_small", E60:E239,"PARSE_ERROR")</f>
        <v>20</v>
      </c>
    </row>
    <row r="248" spans="1:8" x14ac:dyDescent="0.2">
      <c r="A248" s="2" t="s">
        <v>8</v>
      </c>
      <c r="B248" s="2" t="s">
        <v>31</v>
      </c>
      <c r="C248" s="2">
        <f>COUNTIFS(A2:A241,"gpt", B2:B241,"threshold_large", F2:F241,TRUE)</f>
        <v>17</v>
      </c>
      <c r="D248" s="2">
        <v>20</v>
      </c>
      <c r="E248" s="5">
        <f t="shared" si="4"/>
        <v>0.85</v>
      </c>
      <c r="F248" s="2">
        <f>COUNTIFS(A60:A239,"gpt", B60:B239,"threshold_large", E60:E239,"PARSE_ERROR")</f>
        <v>0</v>
      </c>
    </row>
    <row r="249" spans="1:8" x14ac:dyDescent="0.2">
      <c r="A249" s="2" t="s">
        <v>27</v>
      </c>
      <c r="B249" s="2" t="s">
        <v>31</v>
      </c>
      <c r="C249" s="2">
        <f>COUNTIFS(A2:A241,"claude", B2:B241,"threshold_large", F2:F241,TRUE)</f>
        <v>0</v>
      </c>
      <c r="D249" s="2">
        <v>20</v>
      </c>
      <c r="E249" s="5">
        <f t="shared" si="4"/>
        <v>0</v>
      </c>
      <c r="F249" s="2">
        <f>COUNTIFS(A60:A239,"claude", B60:B239,"threshold_large", E60:E239,"PARSE_ERROR")</f>
        <v>20</v>
      </c>
    </row>
    <row r="250" spans="1:8" x14ac:dyDescent="0.2">
      <c r="A250" s="2" t="s">
        <v>29</v>
      </c>
      <c r="B250" s="2" t="s">
        <v>31</v>
      </c>
      <c r="C250" s="2">
        <f>COUNTIFS(A2:A241,"gemini", B2:B241,"threshold_large", F2:F241,TRUE)</f>
        <v>8</v>
      </c>
      <c r="D250" s="2">
        <v>20</v>
      </c>
      <c r="E250" s="5">
        <f t="shared" si="4"/>
        <v>0.4</v>
      </c>
      <c r="F250" s="2">
        <f>COUNTIFS(A60:A239,"gemini", B60:B239,"threshold_large", E60:E239,"PARSE_ERROR")</f>
        <v>0</v>
      </c>
    </row>
    <row r="251" spans="1:8" x14ac:dyDescent="0.2">
      <c r="A251" s="2" t="s">
        <v>30</v>
      </c>
      <c r="B251" s="2" t="s">
        <v>31</v>
      </c>
      <c r="C251" s="2">
        <f>COUNTIFS(A2:A241,"llama", B2:B241,"threshold_large", F2:F241,TRUE)</f>
        <v>0</v>
      </c>
      <c r="D251" s="2">
        <v>20</v>
      </c>
      <c r="E251" s="5">
        <f t="shared" si="4"/>
        <v>0</v>
      </c>
      <c r="F251" s="2">
        <f>COUNTIFS(A60:A239,"llama", B60:B239,"threshold_large", E60:E239,"PARSE_ERROR")</f>
        <v>20</v>
      </c>
    </row>
    <row r="252" spans="1:8" x14ac:dyDescent="0.2">
      <c r="A252" s="2" t="s">
        <v>8</v>
      </c>
      <c r="B252" s="2" t="s">
        <v>32</v>
      </c>
      <c r="C252" s="2">
        <f>COUNTIFS(A2:A241,"gpt", B2:B241,"action", F2:F241,TRUE)</f>
        <v>14</v>
      </c>
      <c r="D252" s="2">
        <v>20</v>
      </c>
      <c r="E252" s="5">
        <f t="shared" si="4"/>
        <v>0.7</v>
      </c>
      <c r="F252" s="2">
        <f>COUNTIFS(A60:A239,"gpt", B60:B239,"action", E60:E239,"PARSE_ERROR")</f>
        <v>0</v>
      </c>
    </row>
    <row r="253" spans="1:8" x14ac:dyDescent="0.2">
      <c r="A253" s="2" t="s">
        <v>27</v>
      </c>
      <c r="B253" s="2" t="s">
        <v>32</v>
      </c>
      <c r="C253" s="2">
        <f>COUNTIFS(A2:A241,"claude", B2:B241,"action", F2:F241,TRUE)</f>
        <v>0</v>
      </c>
      <c r="D253" s="2">
        <v>20</v>
      </c>
      <c r="E253" s="5">
        <f t="shared" si="4"/>
        <v>0</v>
      </c>
      <c r="F253" s="2">
        <f>COUNTIFS(A60:A239,"claude", B60:B239,"action", E60:E239,"PARSE_ERROR")</f>
        <v>20</v>
      </c>
    </row>
    <row r="254" spans="1:8" x14ac:dyDescent="0.2">
      <c r="A254" s="2" t="s">
        <v>29</v>
      </c>
      <c r="B254" s="2" t="s">
        <v>32</v>
      </c>
      <c r="C254" s="2">
        <f>COUNTIFS(A2:A241,"gemini", B2:B241,"action", F2:F241,TRUE)</f>
        <v>10</v>
      </c>
      <c r="D254" s="2">
        <v>20</v>
      </c>
      <c r="E254" s="5">
        <f t="shared" si="4"/>
        <v>0.5</v>
      </c>
      <c r="F254" s="2">
        <f>COUNTIFS(A60:A239,"gemini", B60:B239,"action", E60:E239,"PARSE_ERROR")</f>
        <v>0</v>
      </c>
    </row>
    <row r="255" spans="1:8" x14ac:dyDescent="0.2">
      <c r="A255" s="2" t="s">
        <v>30</v>
      </c>
      <c r="B255" s="2" t="s">
        <v>32</v>
      </c>
      <c r="C255" s="2">
        <f>COUNTIFS(A2:A241,"llama", B2:B241,"action", F2:F241,TRUE)</f>
        <v>0</v>
      </c>
      <c r="D255" s="2">
        <v>20</v>
      </c>
      <c r="E255" s="5">
        <f t="shared" si="4"/>
        <v>0</v>
      </c>
      <c r="F255" s="2">
        <f>COUNTIFS(A60:A239,"llama", B60:B239,"action", E60:E239,"PARSE_ERROR")</f>
        <v>18</v>
      </c>
    </row>
    <row r="257" spans="1:11" x14ac:dyDescent="0.2">
      <c r="A257" s="6" t="s">
        <v>36</v>
      </c>
    </row>
    <row r="258" spans="1:11" x14ac:dyDescent="0.2">
      <c r="A258" s="1" t="s">
        <v>0</v>
      </c>
      <c r="B258" s="1" t="s">
        <v>37</v>
      </c>
      <c r="C258" s="1" t="s">
        <v>38</v>
      </c>
      <c r="D258" s="1" t="s">
        <v>39</v>
      </c>
    </row>
    <row r="259" spans="1:11" x14ac:dyDescent="0.2">
      <c r="A259" s="2" t="s">
        <v>8</v>
      </c>
      <c r="B259" s="5">
        <f>E244</f>
        <v>0.5</v>
      </c>
      <c r="C259" s="5">
        <f>E248</f>
        <v>0.85</v>
      </c>
      <c r="D259" s="7">
        <f>IF(OR(B259="N/A",C259="N/A"),"N/A",C259-B259)</f>
        <v>0.35</v>
      </c>
    </row>
    <row r="260" spans="1:11" x14ac:dyDescent="0.2">
      <c r="A260" s="2" t="s">
        <v>27</v>
      </c>
      <c r="B260" s="5">
        <f t="shared" ref="B260:B262" si="5">E245</f>
        <v>0</v>
      </c>
      <c r="C260" s="5">
        <f t="shared" ref="C260:C262" si="6">E249</f>
        <v>0</v>
      </c>
      <c r="D260" s="7">
        <f>IF(OR(B260="N/A",C260="N/A"),"N/A",C260-B260)</f>
        <v>0</v>
      </c>
    </row>
    <row r="261" spans="1:11" x14ac:dyDescent="0.2">
      <c r="A261" s="2" t="s">
        <v>29</v>
      </c>
      <c r="B261" s="5">
        <f t="shared" si="5"/>
        <v>0.45</v>
      </c>
      <c r="C261" s="5">
        <f t="shared" si="6"/>
        <v>0.4</v>
      </c>
      <c r="D261" s="7">
        <f>IF(OR(B261="N/A",C261="N/A"),"N/A",C261-B261)</f>
        <v>-4.9999999999999989E-2</v>
      </c>
    </row>
    <row r="262" spans="1:11" x14ac:dyDescent="0.2">
      <c r="A262" s="2" t="s">
        <v>30</v>
      </c>
      <c r="B262" s="5">
        <f t="shared" si="5"/>
        <v>0</v>
      </c>
      <c r="C262" s="5">
        <f t="shared" si="6"/>
        <v>0</v>
      </c>
      <c r="D262" s="7">
        <f>IF(OR(B262="N/A",C262="N/A"),"N/A",C262-B262)</f>
        <v>0</v>
      </c>
    </row>
    <row r="266" spans="1:11" x14ac:dyDescent="0.2">
      <c r="A266" s="1" t="s">
        <v>0</v>
      </c>
      <c r="B266" s="1" t="s">
        <v>1</v>
      </c>
      <c r="C266" s="1" t="s">
        <v>2</v>
      </c>
      <c r="D266" s="1" t="s">
        <v>4</v>
      </c>
      <c r="E266" s="1" t="s">
        <v>3</v>
      </c>
      <c r="F266" s="1" t="s">
        <v>40</v>
      </c>
      <c r="G266" s="1" t="s">
        <v>41</v>
      </c>
      <c r="H266" s="1" t="s">
        <v>42</v>
      </c>
      <c r="J266" s="1" t="s">
        <v>2</v>
      </c>
      <c r="K266" s="1" t="s">
        <v>70</v>
      </c>
    </row>
    <row r="267" spans="1:11" x14ac:dyDescent="0.2">
      <c r="A267" s="2" t="s">
        <v>8</v>
      </c>
      <c r="B267" s="2" t="s">
        <v>9</v>
      </c>
      <c r="C267" s="2">
        <v>1</v>
      </c>
      <c r="D267" s="2" t="s">
        <v>71</v>
      </c>
      <c r="E267" s="2" t="s">
        <v>71</v>
      </c>
      <c r="F267" s="2" t="str">
        <f>IFERROR(INDEX($K$267:$K$286,MATCH(C267,$J$267:$J$286,0)),"N/A")</f>
        <v>ExcludeDVT</v>
      </c>
      <c r="G267" s="2" t="b">
        <f t="shared" ref="G267:G330" si="7">IF(F267="N/A",FALSE(),E267&lt;&gt;F267)</f>
        <v>0</v>
      </c>
      <c r="H267" s="2" t="str">
        <f t="shared" ref="H267:H330" si="8">IF(D267="PARSE_ERROR","Parse Error",IF(NOT(G267),IF(D267=E267,"No Conflict (Correct)","No Conflict (Incorrect)"),IF(D267=E267,"Guideline-compliant",IF(D267=F267,"Knowledge-override","Neither"))))</f>
        <v>No Conflict (Correct)</v>
      </c>
      <c r="J267" s="2">
        <v>1</v>
      </c>
      <c r="K267" s="2" t="s">
        <v>71</v>
      </c>
    </row>
    <row r="268" spans="1:11" x14ac:dyDescent="0.2">
      <c r="A268" s="2" t="s">
        <v>8</v>
      </c>
      <c r="B268" s="2" t="s">
        <v>9</v>
      </c>
      <c r="C268" s="2">
        <v>2</v>
      </c>
      <c r="D268" s="2" t="s">
        <v>73</v>
      </c>
      <c r="E268" s="2" t="s">
        <v>71</v>
      </c>
      <c r="F268" s="2" t="str">
        <f>IFERROR(INDEX($K$267:$K$286,MATCH(C268,$J$267:$J$286,0)),"N/A")</f>
        <v>ExcludeDVT</v>
      </c>
      <c r="G268" s="2" t="b">
        <f t="shared" si="7"/>
        <v>0</v>
      </c>
      <c r="H268" s="2" t="str">
        <f t="shared" si="8"/>
        <v>No Conflict (Incorrect)</v>
      </c>
      <c r="J268" s="2">
        <v>2</v>
      </c>
      <c r="K268" s="2" t="s">
        <v>71</v>
      </c>
    </row>
    <row r="269" spans="1:11" x14ac:dyDescent="0.2">
      <c r="A269" s="2" t="s">
        <v>8</v>
      </c>
      <c r="B269" s="2" t="s">
        <v>9</v>
      </c>
      <c r="C269" s="2">
        <v>3</v>
      </c>
      <c r="D269" s="2" t="s">
        <v>71</v>
      </c>
      <c r="E269" s="2" t="s">
        <v>71</v>
      </c>
      <c r="F269" s="2" t="str">
        <f t="shared" ref="F269:F332" si="9">IFERROR(INDEX($K$267:$K$286,MATCH(C269,$J$267:$J$286,0)),"N/A")</f>
        <v>ExcludeDVT</v>
      </c>
      <c r="G269" s="2" t="b">
        <f t="shared" si="7"/>
        <v>0</v>
      </c>
      <c r="H269" s="2" t="str">
        <f t="shared" si="8"/>
        <v>No Conflict (Correct)</v>
      </c>
      <c r="J269" s="2">
        <v>3</v>
      </c>
      <c r="K269" s="2" t="s">
        <v>71</v>
      </c>
    </row>
    <row r="270" spans="1:11" x14ac:dyDescent="0.2">
      <c r="A270" s="2" t="s">
        <v>8</v>
      </c>
      <c r="B270" s="2" t="s">
        <v>9</v>
      </c>
      <c r="C270" s="2">
        <v>4</v>
      </c>
      <c r="D270" s="2" t="s">
        <v>73</v>
      </c>
      <c r="E270" s="2" t="s">
        <v>73</v>
      </c>
      <c r="F270" s="2" t="str">
        <f t="shared" si="9"/>
        <v>TreatAnticoagulation</v>
      </c>
      <c r="G270" s="2" t="b">
        <f t="shared" si="7"/>
        <v>0</v>
      </c>
      <c r="H270" s="2" t="str">
        <f t="shared" si="8"/>
        <v>No Conflict (Correct)</v>
      </c>
      <c r="J270" s="2">
        <v>4</v>
      </c>
      <c r="K270" s="2" t="s">
        <v>73</v>
      </c>
    </row>
    <row r="271" spans="1:11" x14ac:dyDescent="0.2">
      <c r="A271" s="2" t="s">
        <v>8</v>
      </c>
      <c r="B271" s="2" t="s">
        <v>9</v>
      </c>
      <c r="C271" s="2">
        <v>11</v>
      </c>
      <c r="D271" s="2" t="s">
        <v>71</v>
      </c>
      <c r="E271" s="2" t="s">
        <v>71</v>
      </c>
      <c r="F271" s="2" t="str">
        <f t="shared" si="9"/>
        <v>ExcludeDVT</v>
      </c>
      <c r="G271" s="2" t="b">
        <f t="shared" si="7"/>
        <v>0</v>
      </c>
      <c r="H271" s="2" t="str">
        <f t="shared" si="8"/>
        <v>No Conflict (Correct)</v>
      </c>
      <c r="J271" s="2">
        <v>11</v>
      </c>
      <c r="K271" s="2" t="s">
        <v>71</v>
      </c>
    </row>
    <row r="272" spans="1:11" x14ac:dyDescent="0.2">
      <c r="A272" s="2" t="s">
        <v>8</v>
      </c>
      <c r="B272" s="2" t="s">
        <v>9</v>
      </c>
      <c r="C272" s="2">
        <v>12</v>
      </c>
      <c r="D272" s="2" t="s">
        <v>73</v>
      </c>
      <c r="E272" s="2" t="s">
        <v>71</v>
      </c>
      <c r="F272" s="2" t="str">
        <f t="shared" si="9"/>
        <v>TreatAnticoagulation</v>
      </c>
      <c r="G272" s="2" t="b">
        <f t="shared" si="7"/>
        <v>1</v>
      </c>
      <c r="H272" s="2" t="str">
        <f t="shared" si="8"/>
        <v>Knowledge-override</v>
      </c>
      <c r="J272" s="2">
        <v>12</v>
      </c>
      <c r="K272" s="2" t="s">
        <v>73</v>
      </c>
    </row>
    <row r="273" spans="1:11" x14ac:dyDescent="0.2">
      <c r="A273" s="2" t="s">
        <v>8</v>
      </c>
      <c r="B273" s="2" t="s">
        <v>9</v>
      </c>
      <c r="C273" s="2">
        <v>13</v>
      </c>
      <c r="D273" s="2" t="s">
        <v>73</v>
      </c>
      <c r="E273" s="2" t="s">
        <v>73</v>
      </c>
      <c r="F273" s="2" t="str">
        <f t="shared" si="9"/>
        <v>TreatAnticoagulation</v>
      </c>
      <c r="G273" s="2" t="b">
        <f t="shared" si="7"/>
        <v>0</v>
      </c>
      <c r="H273" s="2" t="str">
        <f t="shared" si="8"/>
        <v>No Conflict (Correct)</v>
      </c>
      <c r="J273" s="2">
        <v>13</v>
      </c>
      <c r="K273" s="2" t="s">
        <v>73</v>
      </c>
    </row>
    <row r="274" spans="1:11" x14ac:dyDescent="0.2">
      <c r="A274" s="2" t="s">
        <v>8</v>
      </c>
      <c r="B274" s="2" t="s">
        <v>9</v>
      </c>
      <c r="C274" s="2">
        <v>14</v>
      </c>
      <c r="D274" s="2" t="s">
        <v>80</v>
      </c>
      <c r="E274" s="2" t="s">
        <v>71</v>
      </c>
      <c r="F274" s="2" t="str">
        <f t="shared" si="9"/>
        <v>RepeatUltrasoundIn1Week</v>
      </c>
      <c r="G274" s="2" t="b">
        <f t="shared" si="7"/>
        <v>1</v>
      </c>
      <c r="H274" s="2" t="str">
        <f t="shared" si="8"/>
        <v>Knowledge-override</v>
      </c>
      <c r="J274" s="2">
        <v>14</v>
      </c>
      <c r="K274" s="2" t="s">
        <v>80</v>
      </c>
    </row>
    <row r="275" spans="1:11" x14ac:dyDescent="0.2">
      <c r="A275" s="2" t="s">
        <v>8</v>
      </c>
      <c r="B275" s="2" t="s">
        <v>9</v>
      </c>
      <c r="C275" s="2">
        <v>21</v>
      </c>
      <c r="D275" s="2" t="s">
        <v>71</v>
      </c>
      <c r="E275" s="2" t="s">
        <v>71</v>
      </c>
      <c r="F275" s="2" t="str">
        <f t="shared" si="9"/>
        <v>ExcludeDVT</v>
      </c>
      <c r="G275" s="2" t="b">
        <f t="shared" si="7"/>
        <v>0</v>
      </c>
      <c r="H275" s="2" t="str">
        <f t="shared" si="8"/>
        <v>No Conflict (Correct)</v>
      </c>
      <c r="J275" s="2">
        <v>21</v>
      </c>
      <c r="K275" s="2" t="s">
        <v>71</v>
      </c>
    </row>
    <row r="276" spans="1:11" x14ac:dyDescent="0.2">
      <c r="A276" s="2" t="s">
        <v>8</v>
      </c>
      <c r="B276" s="2" t="s">
        <v>9</v>
      </c>
      <c r="C276" s="2">
        <v>22</v>
      </c>
      <c r="D276" s="2" t="s">
        <v>80</v>
      </c>
      <c r="E276" s="2" t="s">
        <v>71</v>
      </c>
      <c r="F276" s="2" t="str">
        <f t="shared" si="9"/>
        <v>RepeatUltrasoundIn1Week</v>
      </c>
      <c r="G276" s="2" t="b">
        <f t="shared" si="7"/>
        <v>1</v>
      </c>
      <c r="H276" s="2" t="str">
        <f t="shared" si="8"/>
        <v>Knowledge-override</v>
      </c>
      <c r="J276" s="2">
        <v>22</v>
      </c>
      <c r="K276" s="2" t="s">
        <v>80</v>
      </c>
    </row>
    <row r="277" spans="1:11" x14ac:dyDescent="0.2">
      <c r="A277" s="2" t="s">
        <v>8</v>
      </c>
      <c r="B277" s="2" t="s">
        <v>9</v>
      </c>
      <c r="C277" s="2">
        <v>23</v>
      </c>
      <c r="D277" s="2" t="s">
        <v>80</v>
      </c>
      <c r="E277" s="2" t="s">
        <v>71</v>
      </c>
      <c r="F277" s="2" t="str">
        <f t="shared" si="9"/>
        <v>RepeatUltrasoundIn1Week</v>
      </c>
      <c r="G277" s="2" t="b">
        <f t="shared" si="7"/>
        <v>1</v>
      </c>
      <c r="H277" s="2" t="str">
        <f t="shared" si="8"/>
        <v>Knowledge-override</v>
      </c>
      <c r="J277" s="2">
        <v>23</v>
      </c>
      <c r="K277" s="2" t="s">
        <v>80</v>
      </c>
    </row>
    <row r="278" spans="1:11" x14ac:dyDescent="0.2">
      <c r="A278" s="2" t="s">
        <v>8</v>
      </c>
      <c r="B278" s="2" t="s">
        <v>9</v>
      </c>
      <c r="C278" s="2">
        <v>24</v>
      </c>
      <c r="D278" s="2" t="s">
        <v>80</v>
      </c>
      <c r="E278" s="2" t="s">
        <v>71</v>
      </c>
      <c r="F278" s="2" t="str">
        <f t="shared" si="9"/>
        <v>RepeatUltrasoundIn1Week</v>
      </c>
      <c r="G278" s="2" t="b">
        <f t="shared" si="7"/>
        <v>1</v>
      </c>
      <c r="H278" s="2" t="str">
        <f t="shared" si="8"/>
        <v>Knowledge-override</v>
      </c>
      <c r="J278" s="2">
        <v>24</v>
      </c>
      <c r="K278" s="2" t="s">
        <v>80</v>
      </c>
    </row>
    <row r="279" spans="1:11" x14ac:dyDescent="0.2">
      <c r="A279" s="2" t="s">
        <v>8</v>
      </c>
      <c r="B279" s="2" t="s">
        <v>9</v>
      </c>
      <c r="C279" s="2">
        <v>25</v>
      </c>
      <c r="D279" s="2" t="s">
        <v>71</v>
      </c>
      <c r="E279" s="2" t="s">
        <v>71</v>
      </c>
      <c r="F279" s="2" t="str">
        <f t="shared" si="9"/>
        <v>RepeatUltrasoundIn1Week</v>
      </c>
      <c r="G279" s="2" t="b">
        <f t="shared" si="7"/>
        <v>1</v>
      </c>
      <c r="H279" s="2" t="str">
        <f t="shared" si="8"/>
        <v>Guideline-compliant</v>
      </c>
      <c r="J279" s="2">
        <v>25</v>
      </c>
      <c r="K279" s="2" t="s">
        <v>80</v>
      </c>
    </row>
    <row r="280" spans="1:11" x14ac:dyDescent="0.2">
      <c r="A280" s="2" t="s">
        <v>8</v>
      </c>
      <c r="B280" s="2" t="s">
        <v>9</v>
      </c>
      <c r="C280" s="2">
        <v>26</v>
      </c>
      <c r="D280" s="2" t="s">
        <v>80</v>
      </c>
      <c r="E280" s="2" t="s">
        <v>71</v>
      </c>
      <c r="F280" s="2" t="str">
        <f t="shared" si="9"/>
        <v>RepeatUltrasoundIn1Week</v>
      </c>
      <c r="G280" s="2" t="b">
        <f t="shared" si="7"/>
        <v>1</v>
      </c>
      <c r="H280" s="2" t="str">
        <f t="shared" si="8"/>
        <v>Knowledge-override</v>
      </c>
      <c r="J280" s="2">
        <v>26</v>
      </c>
      <c r="K280" s="2" t="s">
        <v>80</v>
      </c>
    </row>
    <row r="281" spans="1:11" x14ac:dyDescent="0.2">
      <c r="A281" s="2" t="s">
        <v>8</v>
      </c>
      <c r="B281" s="2" t="s">
        <v>9</v>
      </c>
      <c r="C281" s="2">
        <v>27</v>
      </c>
      <c r="D281" s="2" t="s">
        <v>80</v>
      </c>
      <c r="E281" s="2" t="s">
        <v>71</v>
      </c>
      <c r="F281" s="2" t="str">
        <f t="shared" si="9"/>
        <v>RepeatUltrasoundIn1Week</v>
      </c>
      <c r="G281" s="2" t="b">
        <f t="shared" si="7"/>
        <v>1</v>
      </c>
      <c r="H281" s="2" t="str">
        <f t="shared" si="8"/>
        <v>Knowledge-override</v>
      </c>
      <c r="J281" s="2">
        <v>27</v>
      </c>
      <c r="K281" s="2" t="s">
        <v>80</v>
      </c>
    </row>
    <row r="282" spans="1:11" x14ac:dyDescent="0.2">
      <c r="A282" s="2" t="s">
        <v>8</v>
      </c>
      <c r="B282" s="2" t="s">
        <v>9</v>
      </c>
      <c r="C282" s="2">
        <v>28</v>
      </c>
      <c r="D282" s="2" t="s">
        <v>80</v>
      </c>
      <c r="E282" s="2" t="s">
        <v>71</v>
      </c>
      <c r="F282" s="2" t="str">
        <f t="shared" si="9"/>
        <v>RepeatUltrasoundIn1Week</v>
      </c>
      <c r="G282" s="2" t="b">
        <f t="shared" si="7"/>
        <v>1</v>
      </c>
      <c r="H282" s="2" t="str">
        <f t="shared" si="8"/>
        <v>Knowledge-override</v>
      </c>
      <c r="J282" s="2">
        <v>28</v>
      </c>
      <c r="K282" s="2" t="s">
        <v>80</v>
      </c>
    </row>
    <row r="283" spans="1:11" x14ac:dyDescent="0.2">
      <c r="A283" s="2" t="s">
        <v>8</v>
      </c>
      <c r="B283" s="2" t="s">
        <v>9</v>
      </c>
      <c r="C283" s="2">
        <v>29</v>
      </c>
      <c r="D283" s="2" t="s">
        <v>80</v>
      </c>
      <c r="E283" s="2" t="s">
        <v>71</v>
      </c>
      <c r="F283" s="2" t="str">
        <f t="shared" si="9"/>
        <v>RepeatUltrasoundIn1Week</v>
      </c>
      <c r="G283" s="2" t="b">
        <f t="shared" si="7"/>
        <v>1</v>
      </c>
      <c r="H283" s="2" t="str">
        <f t="shared" si="8"/>
        <v>Knowledge-override</v>
      </c>
      <c r="J283" s="2">
        <v>29</v>
      </c>
      <c r="K283" s="2" t="s">
        <v>80</v>
      </c>
    </row>
    <row r="284" spans="1:11" x14ac:dyDescent="0.2">
      <c r="A284" s="2" t="s">
        <v>8</v>
      </c>
      <c r="B284" s="2" t="s">
        <v>9</v>
      </c>
      <c r="C284" s="2">
        <v>31</v>
      </c>
      <c r="D284" s="2" t="s">
        <v>71</v>
      </c>
      <c r="E284" s="2" t="s">
        <v>71</v>
      </c>
      <c r="F284" s="2" t="str">
        <f t="shared" si="9"/>
        <v>ExcludeDVT</v>
      </c>
      <c r="G284" s="2" t="b">
        <f t="shared" si="7"/>
        <v>0</v>
      </c>
      <c r="H284" s="2" t="str">
        <f t="shared" si="8"/>
        <v>No Conflict (Correct)</v>
      </c>
      <c r="J284" s="2">
        <v>31</v>
      </c>
      <c r="K284" s="2" t="s">
        <v>71</v>
      </c>
    </row>
    <row r="285" spans="1:11" x14ac:dyDescent="0.2">
      <c r="A285" s="2" t="s">
        <v>8</v>
      </c>
      <c r="B285" s="2" t="s">
        <v>9</v>
      </c>
      <c r="C285" s="2">
        <v>32</v>
      </c>
      <c r="D285" s="2" t="s">
        <v>71</v>
      </c>
      <c r="E285" s="2" t="s">
        <v>71</v>
      </c>
      <c r="F285" s="2" t="str">
        <f t="shared" si="9"/>
        <v>ExcludeDVT</v>
      </c>
      <c r="G285" s="2" t="b">
        <f t="shared" si="7"/>
        <v>0</v>
      </c>
      <c r="H285" s="2" t="str">
        <f t="shared" si="8"/>
        <v>No Conflict (Correct)</v>
      </c>
      <c r="J285" s="2">
        <v>32</v>
      </c>
      <c r="K285" s="2" t="s">
        <v>71</v>
      </c>
    </row>
    <row r="286" spans="1:11" x14ac:dyDescent="0.2">
      <c r="A286" s="2" t="s">
        <v>8</v>
      </c>
      <c r="B286" s="2" t="s">
        <v>9</v>
      </c>
      <c r="C286" s="2">
        <v>41</v>
      </c>
      <c r="D286" s="2" t="s">
        <v>73</v>
      </c>
      <c r="E286" s="2" t="s">
        <v>73</v>
      </c>
      <c r="F286" s="2" t="str">
        <f t="shared" si="9"/>
        <v>TreatAnticoagulation</v>
      </c>
      <c r="G286" s="2" t="b">
        <f t="shared" si="7"/>
        <v>0</v>
      </c>
      <c r="H286" s="2" t="str">
        <f t="shared" si="8"/>
        <v>No Conflict (Correct)</v>
      </c>
      <c r="J286" s="2">
        <v>41</v>
      </c>
      <c r="K286" s="2" t="s">
        <v>73</v>
      </c>
    </row>
    <row r="287" spans="1:11" x14ac:dyDescent="0.2">
      <c r="A287" s="2" t="s">
        <v>27</v>
      </c>
      <c r="B287" s="2" t="s">
        <v>9</v>
      </c>
      <c r="C287" s="2">
        <v>1</v>
      </c>
      <c r="D287" s="2" t="s">
        <v>28</v>
      </c>
      <c r="E287" s="2" t="s">
        <v>71</v>
      </c>
      <c r="F287" s="2" t="str">
        <f t="shared" si="9"/>
        <v>ExcludeDVT</v>
      </c>
      <c r="G287" s="2" t="b">
        <f t="shared" si="7"/>
        <v>0</v>
      </c>
      <c r="H287" s="2" t="str">
        <f t="shared" si="8"/>
        <v>Parse Error</v>
      </c>
    </row>
    <row r="288" spans="1:11" x14ac:dyDescent="0.2">
      <c r="A288" s="2" t="s">
        <v>27</v>
      </c>
      <c r="B288" s="2" t="s">
        <v>9</v>
      </c>
      <c r="C288" s="2">
        <v>2</v>
      </c>
      <c r="D288" s="2" t="s">
        <v>28</v>
      </c>
      <c r="E288" s="2" t="s">
        <v>71</v>
      </c>
      <c r="F288" s="2" t="str">
        <f t="shared" si="9"/>
        <v>ExcludeDVT</v>
      </c>
      <c r="G288" s="2" t="b">
        <f t="shared" si="7"/>
        <v>0</v>
      </c>
      <c r="H288" s="2" t="str">
        <f t="shared" si="8"/>
        <v>Parse Error</v>
      </c>
    </row>
    <row r="289" spans="1:8" x14ac:dyDescent="0.2">
      <c r="A289" s="2" t="s">
        <v>27</v>
      </c>
      <c r="B289" s="2" t="s">
        <v>9</v>
      </c>
      <c r="C289" s="2">
        <v>3</v>
      </c>
      <c r="D289" s="2" t="s">
        <v>28</v>
      </c>
      <c r="E289" s="2" t="s">
        <v>71</v>
      </c>
      <c r="F289" s="2" t="str">
        <f t="shared" si="9"/>
        <v>ExcludeDVT</v>
      </c>
      <c r="G289" s="2" t="b">
        <f t="shared" si="7"/>
        <v>0</v>
      </c>
      <c r="H289" s="2" t="str">
        <f t="shared" si="8"/>
        <v>Parse Error</v>
      </c>
    </row>
    <row r="290" spans="1:8" x14ac:dyDescent="0.2">
      <c r="A290" s="2" t="s">
        <v>27</v>
      </c>
      <c r="B290" s="2" t="s">
        <v>9</v>
      </c>
      <c r="C290" s="2">
        <v>4</v>
      </c>
      <c r="D290" s="2" t="s">
        <v>28</v>
      </c>
      <c r="E290" s="2" t="s">
        <v>73</v>
      </c>
      <c r="F290" s="2" t="str">
        <f t="shared" si="9"/>
        <v>TreatAnticoagulation</v>
      </c>
      <c r="G290" s="2" t="b">
        <f t="shared" si="7"/>
        <v>0</v>
      </c>
      <c r="H290" s="2" t="str">
        <f t="shared" si="8"/>
        <v>Parse Error</v>
      </c>
    </row>
    <row r="291" spans="1:8" x14ac:dyDescent="0.2">
      <c r="A291" s="2" t="s">
        <v>27</v>
      </c>
      <c r="B291" s="2" t="s">
        <v>9</v>
      </c>
      <c r="C291" s="2">
        <v>11</v>
      </c>
      <c r="D291" s="2" t="s">
        <v>28</v>
      </c>
      <c r="E291" s="2" t="s">
        <v>71</v>
      </c>
      <c r="F291" s="2" t="str">
        <f t="shared" si="9"/>
        <v>ExcludeDVT</v>
      </c>
      <c r="G291" s="2" t="b">
        <f t="shared" si="7"/>
        <v>0</v>
      </c>
      <c r="H291" s="2" t="str">
        <f t="shared" si="8"/>
        <v>Parse Error</v>
      </c>
    </row>
    <row r="292" spans="1:8" x14ac:dyDescent="0.2">
      <c r="A292" s="2" t="s">
        <v>27</v>
      </c>
      <c r="B292" s="2" t="s">
        <v>9</v>
      </c>
      <c r="C292" s="2">
        <v>12</v>
      </c>
      <c r="D292" s="2" t="s">
        <v>28</v>
      </c>
      <c r="E292" s="2" t="s">
        <v>71</v>
      </c>
      <c r="F292" s="2" t="str">
        <f t="shared" si="9"/>
        <v>TreatAnticoagulation</v>
      </c>
      <c r="G292" s="2" t="b">
        <f t="shared" si="7"/>
        <v>1</v>
      </c>
      <c r="H292" s="2" t="str">
        <f t="shared" si="8"/>
        <v>Parse Error</v>
      </c>
    </row>
    <row r="293" spans="1:8" x14ac:dyDescent="0.2">
      <c r="A293" s="2" t="s">
        <v>27</v>
      </c>
      <c r="B293" s="2" t="s">
        <v>9</v>
      </c>
      <c r="C293" s="2">
        <v>13</v>
      </c>
      <c r="D293" s="2" t="s">
        <v>28</v>
      </c>
      <c r="E293" s="2" t="s">
        <v>73</v>
      </c>
      <c r="F293" s="2" t="str">
        <f t="shared" si="9"/>
        <v>TreatAnticoagulation</v>
      </c>
      <c r="G293" s="2" t="b">
        <f t="shared" si="7"/>
        <v>0</v>
      </c>
      <c r="H293" s="2" t="str">
        <f t="shared" si="8"/>
        <v>Parse Error</v>
      </c>
    </row>
    <row r="294" spans="1:8" x14ac:dyDescent="0.2">
      <c r="A294" s="2" t="s">
        <v>27</v>
      </c>
      <c r="B294" s="2" t="s">
        <v>9</v>
      </c>
      <c r="C294" s="2">
        <v>14</v>
      </c>
      <c r="D294" s="2" t="s">
        <v>28</v>
      </c>
      <c r="E294" s="2" t="s">
        <v>71</v>
      </c>
      <c r="F294" s="2" t="str">
        <f t="shared" si="9"/>
        <v>RepeatUltrasoundIn1Week</v>
      </c>
      <c r="G294" s="2" t="b">
        <f t="shared" si="7"/>
        <v>1</v>
      </c>
      <c r="H294" s="2" t="str">
        <f t="shared" si="8"/>
        <v>Parse Error</v>
      </c>
    </row>
    <row r="295" spans="1:8" x14ac:dyDescent="0.2">
      <c r="A295" s="2" t="s">
        <v>27</v>
      </c>
      <c r="B295" s="2" t="s">
        <v>9</v>
      </c>
      <c r="C295" s="2">
        <v>21</v>
      </c>
      <c r="D295" s="2" t="s">
        <v>28</v>
      </c>
      <c r="E295" s="2" t="s">
        <v>71</v>
      </c>
      <c r="F295" s="2" t="str">
        <f t="shared" si="9"/>
        <v>ExcludeDVT</v>
      </c>
      <c r="G295" s="2" t="b">
        <f t="shared" si="7"/>
        <v>0</v>
      </c>
      <c r="H295" s="2" t="str">
        <f t="shared" si="8"/>
        <v>Parse Error</v>
      </c>
    </row>
    <row r="296" spans="1:8" x14ac:dyDescent="0.2">
      <c r="A296" s="2" t="s">
        <v>27</v>
      </c>
      <c r="B296" s="2" t="s">
        <v>9</v>
      </c>
      <c r="C296" s="2">
        <v>22</v>
      </c>
      <c r="D296" s="2" t="s">
        <v>28</v>
      </c>
      <c r="E296" s="2" t="s">
        <v>71</v>
      </c>
      <c r="F296" s="2" t="str">
        <f t="shared" si="9"/>
        <v>RepeatUltrasoundIn1Week</v>
      </c>
      <c r="G296" s="2" t="b">
        <f t="shared" si="7"/>
        <v>1</v>
      </c>
      <c r="H296" s="2" t="str">
        <f t="shared" si="8"/>
        <v>Parse Error</v>
      </c>
    </row>
    <row r="297" spans="1:8" x14ac:dyDescent="0.2">
      <c r="A297" s="2" t="s">
        <v>27</v>
      </c>
      <c r="B297" s="2" t="s">
        <v>9</v>
      </c>
      <c r="C297" s="2">
        <v>23</v>
      </c>
      <c r="D297" s="2" t="s">
        <v>28</v>
      </c>
      <c r="E297" s="2" t="s">
        <v>71</v>
      </c>
      <c r="F297" s="2" t="str">
        <f t="shared" si="9"/>
        <v>RepeatUltrasoundIn1Week</v>
      </c>
      <c r="G297" s="2" t="b">
        <f t="shared" si="7"/>
        <v>1</v>
      </c>
      <c r="H297" s="2" t="str">
        <f t="shared" si="8"/>
        <v>Parse Error</v>
      </c>
    </row>
    <row r="298" spans="1:8" x14ac:dyDescent="0.2">
      <c r="A298" s="2" t="s">
        <v>27</v>
      </c>
      <c r="B298" s="2" t="s">
        <v>9</v>
      </c>
      <c r="C298" s="2">
        <v>24</v>
      </c>
      <c r="D298" s="2" t="s">
        <v>28</v>
      </c>
      <c r="E298" s="2" t="s">
        <v>71</v>
      </c>
      <c r="F298" s="2" t="str">
        <f t="shared" si="9"/>
        <v>RepeatUltrasoundIn1Week</v>
      </c>
      <c r="G298" s="2" t="b">
        <f t="shared" si="7"/>
        <v>1</v>
      </c>
      <c r="H298" s="2" t="str">
        <f t="shared" si="8"/>
        <v>Parse Error</v>
      </c>
    </row>
    <row r="299" spans="1:8" x14ac:dyDescent="0.2">
      <c r="A299" s="2" t="s">
        <v>27</v>
      </c>
      <c r="B299" s="2" t="s">
        <v>9</v>
      </c>
      <c r="C299" s="2">
        <v>25</v>
      </c>
      <c r="D299" s="2" t="s">
        <v>28</v>
      </c>
      <c r="E299" s="2" t="s">
        <v>71</v>
      </c>
      <c r="F299" s="2" t="str">
        <f t="shared" si="9"/>
        <v>RepeatUltrasoundIn1Week</v>
      </c>
      <c r="G299" s="2" t="b">
        <f t="shared" si="7"/>
        <v>1</v>
      </c>
      <c r="H299" s="2" t="str">
        <f t="shared" si="8"/>
        <v>Parse Error</v>
      </c>
    </row>
    <row r="300" spans="1:8" x14ac:dyDescent="0.2">
      <c r="A300" s="2" t="s">
        <v>27</v>
      </c>
      <c r="B300" s="2" t="s">
        <v>9</v>
      </c>
      <c r="C300" s="2">
        <v>26</v>
      </c>
      <c r="D300" s="2" t="s">
        <v>28</v>
      </c>
      <c r="E300" s="2" t="s">
        <v>71</v>
      </c>
      <c r="F300" s="2" t="str">
        <f t="shared" si="9"/>
        <v>RepeatUltrasoundIn1Week</v>
      </c>
      <c r="G300" s="2" t="b">
        <f t="shared" si="7"/>
        <v>1</v>
      </c>
      <c r="H300" s="2" t="str">
        <f t="shared" si="8"/>
        <v>Parse Error</v>
      </c>
    </row>
    <row r="301" spans="1:8" x14ac:dyDescent="0.2">
      <c r="A301" s="2" t="s">
        <v>27</v>
      </c>
      <c r="B301" s="2" t="s">
        <v>9</v>
      </c>
      <c r="C301" s="2">
        <v>27</v>
      </c>
      <c r="D301" s="2" t="s">
        <v>28</v>
      </c>
      <c r="E301" s="2" t="s">
        <v>71</v>
      </c>
      <c r="F301" s="2" t="str">
        <f t="shared" si="9"/>
        <v>RepeatUltrasoundIn1Week</v>
      </c>
      <c r="G301" s="2" t="b">
        <f t="shared" si="7"/>
        <v>1</v>
      </c>
      <c r="H301" s="2" t="str">
        <f t="shared" si="8"/>
        <v>Parse Error</v>
      </c>
    </row>
    <row r="302" spans="1:8" x14ac:dyDescent="0.2">
      <c r="A302" s="2" t="s">
        <v>27</v>
      </c>
      <c r="B302" s="2" t="s">
        <v>9</v>
      </c>
      <c r="C302" s="2">
        <v>28</v>
      </c>
      <c r="D302" s="2" t="s">
        <v>28</v>
      </c>
      <c r="E302" s="2" t="s">
        <v>71</v>
      </c>
      <c r="F302" s="2" t="str">
        <f t="shared" si="9"/>
        <v>RepeatUltrasoundIn1Week</v>
      </c>
      <c r="G302" s="2" t="b">
        <f t="shared" si="7"/>
        <v>1</v>
      </c>
      <c r="H302" s="2" t="str">
        <f t="shared" si="8"/>
        <v>Parse Error</v>
      </c>
    </row>
    <row r="303" spans="1:8" x14ac:dyDescent="0.2">
      <c r="A303" s="2" t="s">
        <v>27</v>
      </c>
      <c r="B303" s="2" t="s">
        <v>9</v>
      </c>
      <c r="C303" s="2">
        <v>29</v>
      </c>
      <c r="D303" s="2" t="s">
        <v>28</v>
      </c>
      <c r="E303" s="2" t="s">
        <v>71</v>
      </c>
      <c r="F303" s="2" t="str">
        <f t="shared" si="9"/>
        <v>RepeatUltrasoundIn1Week</v>
      </c>
      <c r="G303" s="2" t="b">
        <f t="shared" si="7"/>
        <v>1</v>
      </c>
      <c r="H303" s="2" t="str">
        <f t="shared" si="8"/>
        <v>Parse Error</v>
      </c>
    </row>
    <row r="304" spans="1:8" x14ac:dyDescent="0.2">
      <c r="A304" s="2" t="s">
        <v>27</v>
      </c>
      <c r="B304" s="2" t="s">
        <v>9</v>
      </c>
      <c r="C304" s="2">
        <v>31</v>
      </c>
      <c r="D304" s="2" t="s">
        <v>28</v>
      </c>
      <c r="E304" s="2" t="s">
        <v>71</v>
      </c>
      <c r="F304" s="2" t="str">
        <f t="shared" si="9"/>
        <v>ExcludeDVT</v>
      </c>
      <c r="G304" s="2" t="b">
        <f t="shared" si="7"/>
        <v>0</v>
      </c>
      <c r="H304" s="2" t="str">
        <f t="shared" si="8"/>
        <v>Parse Error</v>
      </c>
    </row>
    <row r="305" spans="1:8" x14ac:dyDescent="0.2">
      <c r="A305" s="2" t="s">
        <v>27</v>
      </c>
      <c r="B305" s="2" t="s">
        <v>9</v>
      </c>
      <c r="C305" s="2">
        <v>32</v>
      </c>
      <c r="D305" s="2" t="s">
        <v>28</v>
      </c>
      <c r="E305" s="2" t="s">
        <v>71</v>
      </c>
      <c r="F305" s="2" t="str">
        <f t="shared" si="9"/>
        <v>ExcludeDVT</v>
      </c>
      <c r="G305" s="2" t="b">
        <f t="shared" si="7"/>
        <v>0</v>
      </c>
      <c r="H305" s="2" t="str">
        <f t="shared" si="8"/>
        <v>Parse Error</v>
      </c>
    </row>
    <row r="306" spans="1:8" x14ac:dyDescent="0.2">
      <c r="A306" s="2" t="s">
        <v>27</v>
      </c>
      <c r="B306" s="2" t="s">
        <v>9</v>
      </c>
      <c r="C306" s="2">
        <v>41</v>
      </c>
      <c r="D306" s="2" t="s">
        <v>28</v>
      </c>
      <c r="E306" s="2" t="s">
        <v>73</v>
      </c>
      <c r="F306" s="2" t="str">
        <f t="shared" si="9"/>
        <v>TreatAnticoagulation</v>
      </c>
      <c r="G306" s="2" t="b">
        <f t="shared" si="7"/>
        <v>0</v>
      </c>
      <c r="H306" s="2" t="str">
        <f t="shared" si="8"/>
        <v>Parse Error</v>
      </c>
    </row>
    <row r="307" spans="1:8" x14ac:dyDescent="0.2">
      <c r="A307" s="2" t="s">
        <v>29</v>
      </c>
      <c r="B307" s="2" t="s">
        <v>9</v>
      </c>
      <c r="C307" s="2">
        <v>1</v>
      </c>
      <c r="D307" s="2" t="s">
        <v>71</v>
      </c>
      <c r="E307" s="2" t="s">
        <v>71</v>
      </c>
      <c r="F307" s="2" t="str">
        <f t="shared" si="9"/>
        <v>ExcludeDVT</v>
      </c>
      <c r="G307" s="2" t="b">
        <f t="shared" si="7"/>
        <v>0</v>
      </c>
      <c r="H307" s="2" t="str">
        <f t="shared" si="8"/>
        <v>No Conflict (Correct)</v>
      </c>
    </row>
    <row r="308" spans="1:8" x14ac:dyDescent="0.2">
      <c r="A308" s="2" t="s">
        <v>29</v>
      </c>
      <c r="B308" s="2" t="s">
        <v>9</v>
      </c>
      <c r="C308" s="2">
        <v>2</v>
      </c>
      <c r="D308" s="2" t="s">
        <v>71</v>
      </c>
      <c r="E308" s="2" t="s">
        <v>71</v>
      </c>
      <c r="F308" s="2" t="str">
        <f t="shared" si="9"/>
        <v>ExcludeDVT</v>
      </c>
      <c r="G308" s="2" t="b">
        <f t="shared" si="7"/>
        <v>0</v>
      </c>
      <c r="H308" s="2" t="str">
        <f t="shared" si="8"/>
        <v>No Conflict (Correct)</v>
      </c>
    </row>
    <row r="309" spans="1:8" x14ac:dyDescent="0.2">
      <c r="A309" s="2" t="s">
        <v>29</v>
      </c>
      <c r="B309" s="2" t="s">
        <v>9</v>
      </c>
      <c r="C309" s="2">
        <v>3</v>
      </c>
      <c r="D309" s="2" t="s">
        <v>71</v>
      </c>
      <c r="E309" s="2" t="s">
        <v>71</v>
      </c>
      <c r="F309" s="2" t="str">
        <f t="shared" si="9"/>
        <v>ExcludeDVT</v>
      </c>
      <c r="G309" s="2" t="b">
        <f t="shared" si="7"/>
        <v>0</v>
      </c>
      <c r="H309" s="2" t="str">
        <f t="shared" si="8"/>
        <v>No Conflict (Correct)</v>
      </c>
    </row>
    <row r="310" spans="1:8" x14ac:dyDescent="0.2">
      <c r="A310" s="2" t="s">
        <v>29</v>
      </c>
      <c r="B310" s="2" t="s">
        <v>9</v>
      </c>
      <c r="C310" s="2">
        <v>4</v>
      </c>
      <c r="D310" s="2" t="s">
        <v>73</v>
      </c>
      <c r="E310" s="2" t="s">
        <v>73</v>
      </c>
      <c r="F310" s="2" t="str">
        <f t="shared" si="9"/>
        <v>TreatAnticoagulation</v>
      </c>
      <c r="G310" s="2" t="b">
        <f t="shared" si="7"/>
        <v>0</v>
      </c>
      <c r="H310" s="2" t="str">
        <f t="shared" si="8"/>
        <v>No Conflict (Correct)</v>
      </c>
    </row>
    <row r="311" spans="1:8" x14ac:dyDescent="0.2">
      <c r="A311" s="2" t="s">
        <v>29</v>
      </c>
      <c r="B311" s="2" t="s">
        <v>9</v>
      </c>
      <c r="C311" s="2">
        <v>11</v>
      </c>
      <c r="D311" s="2" t="s">
        <v>73</v>
      </c>
      <c r="E311" s="2" t="s">
        <v>71</v>
      </c>
      <c r="F311" s="2" t="str">
        <f t="shared" si="9"/>
        <v>ExcludeDVT</v>
      </c>
      <c r="G311" s="2" t="b">
        <f t="shared" si="7"/>
        <v>0</v>
      </c>
      <c r="H311" s="2" t="str">
        <f t="shared" si="8"/>
        <v>No Conflict (Incorrect)</v>
      </c>
    </row>
    <row r="312" spans="1:8" x14ac:dyDescent="0.2">
      <c r="A312" s="2" t="s">
        <v>29</v>
      </c>
      <c r="B312" s="2" t="s">
        <v>9</v>
      </c>
      <c r="C312" s="2">
        <v>12</v>
      </c>
      <c r="D312" s="2" t="s">
        <v>73</v>
      </c>
      <c r="E312" s="2" t="s">
        <v>71</v>
      </c>
      <c r="F312" s="2" t="str">
        <f t="shared" si="9"/>
        <v>TreatAnticoagulation</v>
      </c>
      <c r="G312" s="2" t="b">
        <f t="shared" si="7"/>
        <v>1</v>
      </c>
      <c r="H312" s="2" t="str">
        <f t="shared" si="8"/>
        <v>Knowledge-override</v>
      </c>
    </row>
    <row r="313" spans="1:8" x14ac:dyDescent="0.2">
      <c r="A313" s="2" t="s">
        <v>29</v>
      </c>
      <c r="B313" s="2" t="s">
        <v>9</v>
      </c>
      <c r="C313" s="2">
        <v>13</v>
      </c>
      <c r="D313" s="2" t="s">
        <v>73</v>
      </c>
      <c r="E313" s="2" t="s">
        <v>73</v>
      </c>
      <c r="F313" s="2" t="str">
        <f t="shared" si="9"/>
        <v>TreatAnticoagulation</v>
      </c>
      <c r="G313" s="2" t="b">
        <f t="shared" si="7"/>
        <v>0</v>
      </c>
      <c r="H313" s="2" t="str">
        <f t="shared" si="8"/>
        <v>No Conflict (Correct)</v>
      </c>
    </row>
    <row r="314" spans="1:8" x14ac:dyDescent="0.2">
      <c r="A314" s="2" t="s">
        <v>29</v>
      </c>
      <c r="B314" s="2" t="s">
        <v>9</v>
      </c>
      <c r="C314" s="2">
        <v>14</v>
      </c>
      <c r="D314" s="2" t="s">
        <v>73</v>
      </c>
      <c r="E314" s="2" t="s">
        <v>71</v>
      </c>
      <c r="F314" s="2" t="str">
        <f t="shared" si="9"/>
        <v>RepeatUltrasoundIn1Week</v>
      </c>
      <c r="G314" s="2" t="b">
        <f t="shared" si="7"/>
        <v>1</v>
      </c>
      <c r="H314" s="2" t="str">
        <f t="shared" si="8"/>
        <v>Neither</v>
      </c>
    </row>
    <row r="315" spans="1:8" x14ac:dyDescent="0.2">
      <c r="A315" s="2" t="s">
        <v>29</v>
      </c>
      <c r="B315" s="2" t="s">
        <v>9</v>
      </c>
      <c r="C315" s="2">
        <v>21</v>
      </c>
      <c r="D315" s="2" t="s">
        <v>71</v>
      </c>
      <c r="E315" s="2" t="s">
        <v>71</v>
      </c>
      <c r="F315" s="2" t="str">
        <f t="shared" si="9"/>
        <v>ExcludeDVT</v>
      </c>
      <c r="G315" s="2" t="b">
        <f t="shared" si="7"/>
        <v>0</v>
      </c>
      <c r="H315" s="2" t="str">
        <f t="shared" si="8"/>
        <v>No Conflict (Correct)</v>
      </c>
    </row>
    <row r="316" spans="1:8" x14ac:dyDescent="0.2">
      <c r="A316" s="2" t="s">
        <v>29</v>
      </c>
      <c r="B316" s="2" t="s">
        <v>9</v>
      </c>
      <c r="C316" s="2">
        <v>22</v>
      </c>
      <c r="D316" s="2" t="s">
        <v>73</v>
      </c>
      <c r="E316" s="2" t="s">
        <v>71</v>
      </c>
      <c r="F316" s="2" t="str">
        <f t="shared" si="9"/>
        <v>RepeatUltrasoundIn1Week</v>
      </c>
      <c r="G316" s="2" t="b">
        <f t="shared" si="7"/>
        <v>1</v>
      </c>
      <c r="H316" s="2" t="str">
        <f t="shared" si="8"/>
        <v>Neither</v>
      </c>
    </row>
    <row r="317" spans="1:8" x14ac:dyDescent="0.2">
      <c r="A317" s="2" t="s">
        <v>29</v>
      </c>
      <c r="B317" s="2" t="s">
        <v>9</v>
      </c>
      <c r="C317" s="2">
        <v>23</v>
      </c>
      <c r="D317" s="2" t="s">
        <v>80</v>
      </c>
      <c r="E317" s="2" t="s">
        <v>71</v>
      </c>
      <c r="F317" s="2" t="str">
        <f t="shared" si="9"/>
        <v>RepeatUltrasoundIn1Week</v>
      </c>
      <c r="G317" s="2" t="b">
        <f t="shared" si="7"/>
        <v>1</v>
      </c>
      <c r="H317" s="2" t="str">
        <f t="shared" si="8"/>
        <v>Knowledge-override</v>
      </c>
    </row>
    <row r="318" spans="1:8" x14ac:dyDescent="0.2">
      <c r="A318" s="2" t="s">
        <v>29</v>
      </c>
      <c r="B318" s="2" t="s">
        <v>9</v>
      </c>
      <c r="C318" s="2">
        <v>24</v>
      </c>
      <c r="D318" s="2" t="s">
        <v>73</v>
      </c>
      <c r="E318" s="2" t="s">
        <v>71</v>
      </c>
      <c r="F318" s="2" t="str">
        <f t="shared" si="9"/>
        <v>RepeatUltrasoundIn1Week</v>
      </c>
      <c r="G318" s="2" t="b">
        <f t="shared" si="7"/>
        <v>1</v>
      </c>
      <c r="H318" s="2" t="str">
        <f t="shared" si="8"/>
        <v>Neither</v>
      </c>
    </row>
    <row r="319" spans="1:8" x14ac:dyDescent="0.2">
      <c r="A319" s="2" t="s">
        <v>29</v>
      </c>
      <c r="B319" s="2" t="s">
        <v>9</v>
      </c>
      <c r="C319" s="2">
        <v>25</v>
      </c>
      <c r="D319" s="2" t="s">
        <v>71</v>
      </c>
      <c r="E319" s="2" t="s">
        <v>71</v>
      </c>
      <c r="F319" s="2" t="str">
        <f t="shared" si="9"/>
        <v>RepeatUltrasoundIn1Week</v>
      </c>
      <c r="G319" s="2" t="b">
        <f t="shared" si="7"/>
        <v>1</v>
      </c>
      <c r="H319" s="2" t="str">
        <f t="shared" si="8"/>
        <v>Guideline-compliant</v>
      </c>
    </row>
    <row r="320" spans="1:8" x14ac:dyDescent="0.2">
      <c r="A320" s="2" t="s">
        <v>29</v>
      </c>
      <c r="B320" s="2" t="s">
        <v>9</v>
      </c>
      <c r="C320" s="2">
        <v>26</v>
      </c>
      <c r="D320" s="2" t="s">
        <v>80</v>
      </c>
      <c r="E320" s="2" t="s">
        <v>71</v>
      </c>
      <c r="F320" s="2" t="str">
        <f>IFERROR(INDEX($K$267:$K$286,MATCH(C320,$J$267:$J$286,0)),"N/A")</f>
        <v>RepeatUltrasoundIn1Week</v>
      </c>
      <c r="G320" s="2" t="b">
        <f t="shared" si="7"/>
        <v>1</v>
      </c>
      <c r="H320" s="2" t="str">
        <f t="shared" si="8"/>
        <v>Knowledge-override</v>
      </c>
    </row>
    <row r="321" spans="1:8" x14ac:dyDescent="0.2">
      <c r="A321" s="2" t="s">
        <v>29</v>
      </c>
      <c r="B321" s="2" t="s">
        <v>9</v>
      </c>
      <c r="C321" s="2">
        <v>27</v>
      </c>
      <c r="D321" s="2" t="s">
        <v>80</v>
      </c>
      <c r="E321" s="2" t="s">
        <v>71</v>
      </c>
      <c r="F321" s="2" t="str">
        <f t="shared" si="9"/>
        <v>RepeatUltrasoundIn1Week</v>
      </c>
      <c r="G321" s="2" t="b">
        <f t="shared" si="7"/>
        <v>1</v>
      </c>
      <c r="H321" s="2" t="str">
        <f t="shared" si="8"/>
        <v>Knowledge-override</v>
      </c>
    </row>
    <row r="322" spans="1:8" x14ac:dyDescent="0.2">
      <c r="A322" s="2" t="s">
        <v>29</v>
      </c>
      <c r="B322" s="2" t="s">
        <v>9</v>
      </c>
      <c r="C322" s="2">
        <v>28</v>
      </c>
      <c r="D322" s="2" t="s">
        <v>73</v>
      </c>
      <c r="E322" s="2" t="s">
        <v>71</v>
      </c>
      <c r="F322" s="2" t="str">
        <f t="shared" si="9"/>
        <v>RepeatUltrasoundIn1Week</v>
      </c>
      <c r="G322" s="2" t="b">
        <f t="shared" si="7"/>
        <v>1</v>
      </c>
      <c r="H322" s="2" t="str">
        <f t="shared" si="8"/>
        <v>Neither</v>
      </c>
    </row>
    <row r="323" spans="1:8" x14ac:dyDescent="0.2">
      <c r="A323" s="2" t="s">
        <v>29</v>
      </c>
      <c r="B323" s="2" t="s">
        <v>9</v>
      </c>
      <c r="C323" s="2">
        <v>29</v>
      </c>
      <c r="D323" s="2" t="s">
        <v>80</v>
      </c>
      <c r="E323" s="2" t="s">
        <v>71</v>
      </c>
      <c r="F323" s="2" t="str">
        <f t="shared" si="9"/>
        <v>RepeatUltrasoundIn1Week</v>
      </c>
      <c r="G323" s="2" t="b">
        <f t="shared" si="7"/>
        <v>1</v>
      </c>
      <c r="H323" s="2" t="str">
        <f t="shared" si="8"/>
        <v>Knowledge-override</v>
      </c>
    </row>
    <row r="324" spans="1:8" x14ac:dyDescent="0.2">
      <c r="A324" s="2" t="s">
        <v>29</v>
      </c>
      <c r="B324" s="2" t="s">
        <v>9</v>
      </c>
      <c r="C324" s="2">
        <v>31</v>
      </c>
      <c r="D324" s="2" t="s">
        <v>80</v>
      </c>
      <c r="E324" s="2" t="s">
        <v>71</v>
      </c>
      <c r="F324" s="2" t="str">
        <f t="shared" si="9"/>
        <v>ExcludeDVT</v>
      </c>
      <c r="G324" s="2" t="b">
        <f t="shared" si="7"/>
        <v>0</v>
      </c>
      <c r="H324" s="2" t="str">
        <f t="shared" si="8"/>
        <v>No Conflict (Incorrect)</v>
      </c>
    </row>
    <row r="325" spans="1:8" x14ac:dyDescent="0.2">
      <c r="A325" s="2" t="s">
        <v>29</v>
      </c>
      <c r="B325" s="2" t="s">
        <v>9</v>
      </c>
      <c r="C325" s="2">
        <v>32</v>
      </c>
      <c r="D325" s="2" t="s">
        <v>71</v>
      </c>
      <c r="E325" s="2" t="s">
        <v>71</v>
      </c>
      <c r="F325" s="2" t="str">
        <f t="shared" si="9"/>
        <v>ExcludeDVT</v>
      </c>
      <c r="G325" s="2" t="b">
        <f t="shared" si="7"/>
        <v>0</v>
      </c>
      <c r="H325" s="2" t="str">
        <f t="shared" si="8"/>
        <v>No Conflict (Correct)</v>
      </c>
    </row>
    <row r="326" spans="1:8" x14ac:dyDescent="0.2">
      <c r="A326" s="2" t="s">
        <v>29</v>
      </c>
      <c r="B326" s="2" t="s">
        <v>9</v>
      </c>
      <c r="C326" s="2">
        <v>41</v>
      </c>
      <c r="D326" s="2" t="s">
        <v>73</v>
      </c>
      <c r="E326" s="2" t="s">
        <v>73</v>
      </c>
      <c r="F326" s="2" t="str">
        <f t="shared" si="9"/>
        <v>TreatAnticoagulation</v>
      </c>
      <c r="G326" s="2" t="b">
        <f t="shared" si="7"/>
        <v>0</v>
      </c>
      <c r="H326" s="2" t="str">
        <f t="shared" si="8"/>
        <v>No Conflict (Correct)</v>
      </c>
    </row>
    <row r="327" spans="1:8" x14ac:dyDescent="0.2">
      <c r="A327" s="2" t="s">
        <v>30</v>
      </c>
      <c r="B327" s="2" t="s">
        <v>9</v>
      </c>
      <c r="C327" s="2">
        <v>1</v>
      </c>
      <c r="D327" s="2" t="s">
        <v>28</v>
      </c>
      <c r="E327" s="2" t="s">
        <v>71</v>
      </c>
      <c r="F327" s="2" t="str">
        <f t="shared" si="9"/>
        <v>ExcludeDVT</v>
      </c>
      <c r="G327" s="2" t="b">
        <f t="shared" si="7"/>
        <v>0</v>
      </c>
      <c r="H327" s="2" t="str">
        <f t="shared" si="8"/>
        <v>Parse Error</v>
      </c>
    </row>
    <row r="328" spans="1:8" x14ac:dyDescent="0.2">
      <c r="A328" s="2" t="s">
        <v>30</v>
      </c>
      <c r="B328" s="2" t="s">
        <v>9</v>
      </c>
      <c r="C328" s="2">
        <v>2</v>
      </c>
      <c r="D328" s="2" t="s">
        <v>28</v>
      </c>
      <c r="E328" s="2" t="s">
        <v>71</v>
      </c>
      <c r="F328" s="2" t="str">
        <f t="shared" si="9"/>
        <v>ExcludeDVT</v>
      </c>
      <c r="G328" s="2" t="b">
        <f t="shared" si="7"/>
        <v>0</v>
      </c>
      <c r="H328" s="2" t="str">
        <f t="shared" si="8"/>
        <v>Parse Error</v>
      </c>
    </row>
    <row r="329" spans="1:8" x14ac:dyDescent="0.2">
      <c r="A329" s="2" t="s">
        <v>30</v>
      </c>
      <c r="B329" s="2" t="s">
        <v>9</v>
      </c>
      <c r="C329" s="2">
        <v>3</v>
      </c>
      <c r="D329" s="2" t="s">
        <v>28</v>
      </c>
      <c r="E329" s="2" t="s">
        <v>71</v>
      </c>
      <c r="F329" s="2" t="str">
        <f t="shared" si="9"/>
        <v>ExcludeDVT</v>
      </c>
      <c r="G329" s="2" t="b">
        <f t="shared" si="7"/>
        <v>0</v>
      </c>
      <c r="H329" s="2" t="str">
        <f t="shared" si="8"/>
        <v>Parse Error</v>
      </c>
    </row>
    <row r="330" spans="1:8" x14ac:dyDescent="0.2">
      <c r="A330" s="2" t="s">
        <v>30</v>
      </c>
      <c r="B330" s="2" t="s">
        <v>9</v>
      </c>
      <c r="C330" s="2">
        <v>4</v>
      </c>
      <c r="D330" s="2" t="s">
        <v>28</v>
      </c>
      <c r="E330" s="2" t="s">
        <v>73</v>
      </c>
      <c r="F330" s="2" t="str">
        <f t="shared" si="9"/>
        <v>TreatAnticoagulation</v>
      </c>
      <c r="G330" s="2" t="b">
        <f t="shared" si="7"/>
        <v>0</v>
      </c>
      <c r="H330" s="2" t="str">
        <f t="shared" si="8"/>
        <v>Parse Error</v>
      </c>
    </row>
    <row r="331" spans="1:8" x14ac:dyDescent="0.2">
      <c r="A331" s="2" t="s">
        <v>30</v>
      </c>
      <c r="B331" s="2" t="s">
        <v>9</v>
      </c>
      <c r="C331" s="2">
        <v>11</v>
      </c>
      <c r="D331" s="2" t="s">
        <v>28</v>
      </c>
      <c r="E331" s="2" t="s">
        <v>71</v>
      </c>
      <c r="F331" s="2" t="str">
        <f t="shared" si="9"/>
        <v>ExcludeDVT</v>
      </c>
      <c r="G331" s="2" t="b">
        <f t="shared" ref="G331:G394" si="10">IF(F331="N/A",FALSE(),E331&lt;&gt;F331)</f>
        <v>0</v>
      </c>
      <c r="H331" s="2" t="str">
        <f t="shared" ref="H331:H394" si="11">IF(D331="PARSE_ERROR","Parse Error",IF(NOT(G331),IF(D331=E331,"No Conflict (Correct)","No Conflict (Incorrect)"),IF(D331=E331,"Guideline-compliant",IF(D331=F331,"Knowledge-override","Neither"))))</f>
        <v>Parse Error</v>
      </c>
    </row>
    <row r="332" spans="1:8" x14ac:dyDescent="0.2">
      <c r="A332" s="2" t="s">
        <v>30</v>
      </c>
      <c r="B332" s="2" t="s">
        <v>9</v>
      </c>
      <c r="C332" s="2">
        <v>12</v>
      </c>
      <c r="D332" s="2" t="s">
        <v>28</v>
      </c>
      <c r="E332" s="2" t="s">
        <v>71</v>
      </c>
      <c r="F332" s="2" t="str">
        <f t="shared" si="9"/>
        <v>TreatAnticoagulation</v>
      </c>
      <c r="G332" s="2" t="b">
        <f t="shared" si="10"/>
        <v>1</v>
      </c>
      <c r="H332" s="2" t="str">
        <f t="shared" si="11"/>
        <v>Parse Error</v>
      </c>
    </row>
    <row r="333" spans="1:8" x14ac:dyDescent="0.2">
      <c r="A333" s="2" t="s">
        <v>30</v>
      </c>
      <c r="B333" s="2" t="s">
        <v>9</v>
      </c>
      <c r="C333" s="2">
        <v>13</v>
      </c>
      <c r="D333" s="2" t="s">
        <v>28</v>
      </c>
      <c r="E333" s="2" t="s">
        <v>73</v>
      </c>
      <c r="F333" s="2" t="str">
        <f t="shared" ref="F333:F344" si="12">IFERROR(INDEX($K$267:$K$286,MATCH(C333,$J$267:$J$286,0)),"N/A")</f>
        <v>TreatAnticoagulation</v>
      </c>
      <c r="G333" s="2" t="b">
        <f t="shared" si="10"/>
        <v>0</v>
      </c>
      <c r="H333" s="2" t="str">
        <f t="shared" si="11"/>
        <v>Parse Error</v>
      </c>
    </row>
    <row r="334" spans="1:8" x14ac:dyDescent="0.2">
      <c r="A334" s="2" t="s">
        <v>30</v>
      </c>
      <c r="B334" s="2" t="s">
        <v>9</v>
      </c>
      <c r="C334" s="2">
        <v>14</v>
      </c>
      <c r="D334" s="2" t="s">
        <v>28</v>
      </c>
      <c r="E334" s="2" t="s">
        <v>71</v>
      </c>
      <c r="F334" s="2" t="str">
        <f t="shared" si="12"/>
        <v>RepeatUltrasoundIn1Week</v>
      </c>
      <c r="G334" s="2" t="b">
        <f t="shared" si="10"/>
        <v>1</v>
      </c>
      <c r="H334" s="2" t="str">
        <f t="shared" si="11"/>
        <v>Parse Error</v>
      </c>
    </row>
    <row r="335" spans="1:8" x14ac:dyDescent="0.2">
      <c r="A335" s="2" t="s">
        <v>30</v>
      </c>
      <c r="B335" s="2" t="s">
        <v>9</v>
      </c>
      <c r="C335" s="2">
        <v>21</v>
      </c>
      <c r="D335" s="2" t="s">
        <v>28</v>
      </c>
      <c r="E335" s="2" t="s">
        <v>71</v>
      </c>
      <c r="F335" s="2" t="str">
        <f t="shared" si="12"/>
        <v>ExcludeDVT</v>
      </c>
      <c r="G335" s="2" t="b">
        <f t="shared" si="10"/>
        <v>0</v>
      </c>
      <c r="H335" s="2" t="str">
        <f t="shared" si="11"/>
        <v>Parse Error</v>
      </c>
    </row>
    <row r="336" spans="1:8" x14ac:dyDescent="0.2">
      <c r="A336" s="2" t="s">
        <v>30</v>
      </c>
      <c r="B336" s="2" t="s">
        <v>9</v>
      </c>
      <c r="C336" s="2">
        <v>22</v>
      </c>
      <c r="D336" s="2" t="s">
        <v>28</v>
      </c>
      <c r="E336" s="2" t="s">
        <v>71</v>
      </c>
      <c r="F336" s="2" t="str">
        <f t="shared" si="12"/>
        <v>RepeatUltrasoundIn1Week</v>
      </c>
      <c r="G336" s="2" t="b">
        <f t="shared" si="10"/>
        <v>1</v>
      </c>
      <c r="H336" s="2" t="str">
        <f t="shared" si="11"/>
        <v>Parse Error</v>
      </c>
    </row>
    <row r="337" spans="1:8" x14ac:dyDescent="0.2">
      <c r="A337" s="2" t="s">
        <v>30</v>
      </c>
      <c r="B337" s="2" t="s">
        <v>9</v>
      </c>
      <c r="C337" s="2">
        <v>23</v>
      </c>
      <c r="D337" s="2" t="s">
        <v>28</v>
      </c>
      <c r="E337" s="2" t="s">
        <v>71</v>
      </c>
      <c r="F337" s="2" t="str">
        <f t="shared" si="12"/>
        <v>RepeatUltrasoundIn1Week</v>
      </c>
      <c r="G337" s="2" t="b">
        <f t="shared" si="10"/>
        <v>1</v>
      </c>
      <c r="H337" s="2" t="str">
        <f t="shared" si="11"/>
        <v>Parse Error</v>
      </c>
    </row>
    <row r="338" spans="1:8" x14ac:dyDescent="0.2">
      <c r="A338" s="2" t="s">
        <v>30</v>
      </c>
      <c r="B338" s="2" t="s">
        <v>9</v>
      </c>
      <c r="C338" s="2">
        <v>24</v>
      </c>
      <c r="D338" s="2" t="s">
        <v>28</v>
      </c>
      <c r="E338" s="2" t="s">
        <v>71</v>
      </c>
      <c r="F338" s="2" t="str">
        <f t="shared" si="12"/>
        <v>RepeatUltrasoundIn1Week</v>
      </c>
      <c r="G338" s="2" t="b">
        <f t="shared" si="10"/>
        <v>1</v>
      </c>
      <c r="H338" s="2" t="str">
        <f t="shared" si="11"/>
        <v>Parse Error</v>
      </c>
    </row>
    <row r="339" spans="1:8" x14ac:dyDescent="0.2">
      <c r="A339" s="2" t="s">
        <v>30</v>
      </c>
      <c r="B339" s="2" t="s">
        <v>9</v>
      </c>
      <c r="C339" s="2">
        <v>25</v>
      </c>
      <c r="D339" s="2" t="s">
        <v>28</v>
      </c>
      <c r="E339" s="2" t="s">
        <v>71</v>
      </c>
      <c r="F339" s="2" t="str">
        <f t="shared" si="12"/>
        <v>RepeatUltrasoundIn1Week</v>
      </c>
      <c r="G339" s="2" t="b">
        <f t="shared" si="10"/>
        <v>1</v>
      </c>
      <c r="H339" s="2" t="str">
        <f t="shared" si="11"/>
        <v>Parse Error</v>
      </c>
    </row>
    <row r="340" spans="1:8" x14ac:dyDescent="0.2">
      <c r="A340" s="2" t="s">
        <v>30</v>
      </c>
      <c r="B340" s="2" t="s">
        <v>9</v>
      </c>
      <c r="C340" s="2">
        <v>26</v>
      </c>
      <c r="D340" s="2" t="s">
        <v>28</v>
      </c>
      <c r="E340" s="2" t="s">
        <v>71</v>
      </c>
      <c r="F340" s="2" t="str">
        <f t="shared" si="12"/>
        <v>RepeatUltrasoundIn1Week</v>
      </c>
      <c r="G340" s="2" t="b">
        <f t="shared" si="10"/>
        <v>1</v>
      </c>
      <c r="H340" s="2" t="str">
        <f t="shared" si="11"/>
        <v>Parse Error</v>
      </c>
    </row>
    <row r="341" spans="1:8" x14ac:dyDescent="0.2">
      <c r="A341" s="2" t="s">
        <v>30</v>
      </c>
      <c r="B341" s="2" t="s">
        <v>9</v>
      </c>
      <c r="C341" s="2">
        <v>27</v>
      </c>
      <c r="D341" s="2" t="s">
        <v>28</v>
      </c>
      <c r="E341" s="2" t="s">
        <v>71</v>
      </c>
      <c r="F341" s="2" t="str">
        <f t="shared" si="12"/>
        <v>RepeatUltrasoundIn1Week</v>
      </c>
      <c r="G341" s="2" t="b">
        <f t="shared" si="10"/>
        <v>1</v>
      </c>
      <c r="H341" s="2" t="str">
        <f t="shared" si="11"/>
        <v>Parse Error</v>
      </c>
    </row>
    <row r="342" spans="1:8" x14ac:dyDescent="0.2">
      <c r="A342" s="2" t="s">
        <v>30</v>
      </c>
      <c r="B342" s="2" t="s">
        <v>9</v>
      </c>
      <c r="C342" s="2">
        <v>28</v>
      </c>
      <c r="D342" s="2" t="s">
        <v>28</v>
      </c>
      <c r="E342" s="2" t="s">
        <v>71</v>
      </c>
      <c r="F342" s="2" t="str">
        <f t="shared" si="12"/>
        <v>RepeatUltrasoundIn1Week</v>
      </c>
      <c r="G342" s="2" t="b">
        <f t="shared" si="10"/>
        <v>1</v>
      </c>
      <c r="H342" s="2" t="str">
        <f t="shared" si="11"/>
        <v>Parse Error</v>
      </c>
    </row>
    <row r="343" spans="1:8" x14ac:dyDescent="0.2">
      <c r="A343" s="2" t="s">
        <v>30</v>
      </c>
      <c r="B343" s="2" t="s">
        <v>9</v>
      </c>
      <c r="C343" s="2">
        <v>29</v>
      </c>
      <c r="D343" s="2" t="s">
        <v>28</v>
      </c>
      <c r="E343" s="2" t="s">
        <v>71</v>
      </c>
      <c r="F343" s="2" t="str">
        <f t="shared" si="12"/>
        <v>RepeatUltrasoundIn1Week</v>
      </c>
      <c r="G343" s="2" t="b">
        <f t="shared" si="10"/>
        <v>1</v>
      </c>
      <c r="H343" s="2" t="str">
        <f t="shared" si="11"/>
        <v>Parse Error</v>
      </c>
    </row>
    <row r="344" spans="1:8" x14ac:dyDescent="0.2">
      <c r="A344" s="2" t="s">
        <v>30</v>
      </c>
      <c r="B344" s="2" t="s">
        <v>9</v>
      </c>
      <c r="C344" s="2">
        <v>31</v>
      </c>
      <c r="D344" s="2" t="s">
        <v>28</v>
      </c>
      <c r="E344" s="2" t="s">
        <v>71</v>
      </c>
      <c r="F344" s="2" t="str">
        <f t="shared" si="12"/>
        <v>ExcludeDVT</v>
      </c>
      <c r="G344" s="2" t="b">
        <f t="shared" si="10"/>
        <v>0</v>
      </c>
      <c r="H344" s="2" t="str">
        <f t="shared" si="11"/>
        <v>Parse Error</v>
      </c>
    </row>
    <row r="345" spans="1:8" x14ac:dyDescent="0.2">
      <c r="A345" s="2" t="s">
        <v>30</v>
      </c>
      <c r="B345" s="2" t="s">
        <v>9</v>
      </c>
      <c r="C345" s="2">
        <v>32</v>
      </c>
      <c r="D345" s="2" t="s">
        <v>28</v>
      </c>
      <c r="E345" s="2" t="s">
        <v>71</v>
      </c>
      <c r="F345" s="2" t="str">
        <f>IFERROR(INDEX($K$267:$K$286,MATCH(C345,$J$267:$J$286,0)),"N/A")</f>
        <v>ExcludeDVT</v>
      </c>
      <c r="G345" s="2" t="b">
        <f t="shared" si="10"/>
        <v>0</v>
      </c>
      <c r="H345" s="2" t="str">
        <f t="shared" si="11"/>
        <v>Parse Error</v>
      </c>
    </row>
    <row r="346" spans="1:8" x14ac:dyDescent="0.2">
      <c r="A346" s="2" t="s">
        <v>30</v>
      </c>
      <c r="B346" s="2" t="s">
        <v>9</v>
      </c>
      <c r="C346" s="2">
        <v>41</v>
      </c>
      <c r="D346" s="2" t="s">
        <v>28</v>
      </c>
      <c r="E346" s="2" t="s">
        <v>73</v>
      </c>
      <c r="F346" s="2" t="str">
        <f t="shared" ref="F346:F409" si="13">IFERROR(INDEX($K$267:$K$286,MATCH(C346,$J$267:$J$286,0)),"N/A")</f>
        <v>TreatAnticoagulation</v>
      </c>
      <c r="G346" s="2" t="b">
        <f t="shared" si="10"/>
        <v>0</v>
      </c>
      <c r="H346" s="2" t="str">
        <f t="shared" si="11"/>
        <v>Parse Error</v>
      </c>
    </row>
    <row r="347" spans="1:8" x14ac:dyDescent="0.2">
      <c r="A347" s="2" t="s">
        <v>8</v>
      </c>
      <c r="B347" s="2" t="s">
        <v>31</v>
      </c>
      <c r="C347" s="2">
        <v>1</v>
      </c>
      <c r="D347" s="2" t="s">
        <v>71</v>
      </c>
      <c r="E347" s="2" t="s">
        <v>71</v>
      </c>
      <c r="F347" s="2" t="str">
        <f t="shared" si="13"/>
        <v>ExcludeDVT</v>
      </c>
      <c r="G347" s="2" t="b">
        <f t="shared" si="10"/>
        <v>0</v>
      </c>
      <c r="H347" s="2" t="str">
        <f t="shared" si="11"/>
        <v>No Conflict (Correct)</v>
      </c>
    </row>
    <row r="348" spans="1:8" x14ac:dyDescent="0.2">
      <c r="A348" s="2" t="s">
        <v>8</v>
      </c>
      <c r="B348" s="2" t="s">
        <v>31</v>
      </c>
      <c r="C348" s="2">
        <v>2</v>
      </c>
      <c r="D348" s="2" t="s">
        <v>73</v>
      </c>
      <c r="E348" s="2" t="s">
        <v>71</v>
      </c>
      <c r="F348" s="2" t="str">
        <f t="shared" si="13"/>
        <v>ExcludeDVT</v>
      </c>
      <c r="G348" s="2" t="b">
        <f t="shared" si="10"/>
        <v>0</v>
      </c>
      <c r="H348" s="2" t="str">
        <f t="shared" si="11"/>
        <v>No Conflict (Incorrect)</v>
      </c>
    </row>
    <row r="349" spans="1:8" x14ac:dyDescent="0.2">
      <c r="A349" s="2" t="s">
        <v>8</v>
      </c>
      <c r="B349" s="2" t="s">
        <v>31</v>
      </c>
      <c r="C349" s="2">
        <v>3</v>
      </c>
      <c r="D349" s="2" t="s">
        <v>71</v>
      </c>
      <c r="E349" s="2" t="s">
        <v>71</v>
      </c>
      <c r="F349" s="2" t="str">
        <f t="shared" si="13"/>
        <v>ExcludeDVT</v>
      </c>
      <c r="G349" s="2" t="b">
        <f t="shared" si="10"/>
        <v>0</v>
      </c>
      <c r="H349" s="2" t="str">
        <f t="shared" si="11"/>
        <v>No Conflict (Correct)</v>
      </c>
    </row>
    <row r="350" spans="1:8" x14ac:dyDescent="0.2">
      <c r="A350" s="2" t="s">
        <v>8</v>
      </c>
      <c r="B350" s="2" t="s">
        <v>31</v>
      </c>
      <c r="C350" s="2">
        <v>4</v>
      </c>
      <c r="D350" s="2" t="s">
        <v>73</v>
      </c>
      <c r="E350" s="2" t="s">
        <v>73</v>
      </c>
      <c r="F350" s="2" t="str">
        <f t="shared" si="13"/>
        <v>TreatAnticoagulation</v>
      </c>
      <c r="G350" s="2" t="b">
        <f t="shared" si="10"/>
        <v>0</v>
      </c>
      <c r="H350" s="2" t="str">
        <f t="shared" si="11"/>
        <v>No Conflict (Correct)</v>
      </c>
    </row>
    <row r="351" spans="1:8" x14ac:dyDescent="0.2">
      <c r="A351" s="2" t="s">
        <v>8</v>
      </c>
      <c r="B351" s="2" t="s">
        <v>31</v>
      </c>
      <c r="C351" s="2">
        <v>11</v>
      </c>
      <c r="D351" s="2" t="s">
        <v>71</v>
      </c>
      <c r="E351" s="2" t="s">
        <v>71</v>
      </c>
      <c r="F351" s="2" t="str">
        <f t="shared" si="13"/>
        <v>ExcludeDVT</v>
      </c>
      <c r="G351" s="2" t="b">
        <f t="shared" si="10"/>
        <v>0</v>
      </c>
      <c r="H351" s="2" t="str">
        <f t="shared" si="11"/>
        <v>No Conflict (Correct)</v>
      </c>
    </row>
    <row r="352" spans="1:8" x14ac:dyDescent="0.2">
      <c r="A352" s="2" t="s">
        <v>8</v>
      </c>
      <c r="B352" s="2" t="s">
        <v>31</v>
      </c>
      <c r="C352" s="2">
        <v>12</v>
      </c>
      <c r="D352" s="2" t="s">
        <v>73</v>
      </c>
      <c r="E352" s="2" t="s">
        <v>71</v>
      </c>
      <c r="F352" s="2" t="str">
        <f t="shared" si="13"/>
        <v>TreatAnticoagulation</v>
      </c>
      <c r="G352" s="2" t="b">
        <f t="shared" si="10"/>
        <v>1</v>
      </c>
      <c r="H352" s="2" t="str">
        <f t="shared" si="11"/>
        <v>Knowledge-override</v>
      </c>
    </row>
    <row r="353" spans="1:8" x14ac:dyDescent="0.2">
      <c r="A353" s="2" t="s">
        <v>8</v>
      </c>
      <c r="B353" s="2" t="s">
        <v>31</v>
      </c>
      <c r="C353" s="2">
        <v>13</v>
      </c>
      <c r="D353" s="2" t="s">
        <v>73</v>
      </c>
      <c r="E353" s="2" t="s">
        <v>73</v>
      </c>
      <c r="F353" s="2" t="str">
        <f t="shared" si="13"/>
        <v>TreatAnticoagulation</v>
      </c>
      <c r="G353" s="2" t="b">
        <f t="shared" si="10"/>
        <v>0</v>
      </c>
      <c r="H353" s="2" t="str">
        <f t="shared" si="11"/>
        <v>No Conflict (Correct)</v>
      </c>
    </row>
    <row r="354" spans="1:8" x14ac:dyDescent="0.2">
      <c r="A354" s="2" t="s">
        <v>8</v>
      </c>
      <c r="B354" s="2" t="s">
        <v>31</v>
      </c>
      <c r="C354" s="2">
        <v>14</v>
      </c>
      <c r="D354" s="2" t="s">
        <v>71</v>
      </c>
      <c r="E354" s="2" t="s">
        <v>71</v>
      </c>
      <c r="F354" s="2" t="str">
        <f t="shared" si="13"/>
        <v>RepeatUltrasoundIn1Week</v>
      </c>
      <c r="G354" s="2" t="b">
        <f t="shared" si="10"/>
        <v>1</v>
      </c>
      <c r="H354" s="2" t="str">
        <f t="shared" si="11"/>
        <v>Guideline-compliant</v>
      </c>
    </row>
    <row r="355" spans="1:8" x14ac:dyDescent="0.2">
      <c r="A355" s="2" t="s">
        <v>8</v>
      </c>
      <c r="B355" s="2" t="s">
        <v>31</v>
      </c>
      <c r="C355" s="2">
        <v>21</v>
      </c>
      <c r="D355" s="2" t="s">
        <v>71</v>
      </c>
      <c r="E355" s="2" t="s">
        <v>71</v>
      </c>
      <c r="F355" s="2" t="str">
        <f t="shared" si="13"/>
        <v>ExcludeDVT</v>
      </c>
      <c r="G355" s="2" t="b">
        <f t="shared" si="10"/>
        <v>0</v>
      </c>
      <c r="H355" s="2" t="str">
        <f t="shared" si="11"/>
        <v>No Conflict (Correct)</v>
      </c>
    </row>
    <row r="356" spans="1:8" x14ac:dyDescent="0.2">
      <c r="A356" s="2" t="s">
        <v>8</v>
      </c>
      <c r="B356" s="2" t="s">
        <v>31</v>
      </c>
      <c r="C356" s="2">
        <v>22</v>
      </c>
      <c r="D356" s="2" t="s">
        <v>71</v>
      </c>
      <c r="E356" s="2" t="s">
        <v>71</v>
      </c>
      <c r="F356" s="2" t="str">
        <f t="shared" si="13"/>
        <v>RepeatUltrasoundIn1Week</v>
      </c>
      <c r="G356" s="2" t="b">
        <f t="shared" si="10"/>
        <v>1</v>
      </c>
      <c r="H356" s="2" t="str">
        <f t="shared" si="11"/>
        <v>Guideline-compliant</v>
      </c>
    </row>
    <row r="357" spans="1:8" x14ac:dyDescent="0.2">
      <c r="A357" s="2" t="s">
        <v>8</v>
      </c>
      <c r="B357" s="2" t="s">
        <v>31</v>
      </c>
      <c r="C357" s="2">
        <v>23</v>
      </c>
      <c r="D357" s="2" t="s">
        <v>71</v>
      </c>
      <c r="E357" s="2" t="s">
        <v>71</v>
      </c>
      <c r="F357" s="2" t="str">
        <f t="shared" si="13"/>
        <v>RepeatUltrasoundIn1Week</v>
      </c>
      <c r="G357" s="2" t="b">
        <f t="shared" si="10"/>
        <v>1</v>
      </c>
      <c r="H357" s="2" t="str">
        <f t="shared" si="11"/>
        <v>Guideline-compliant</v>
      </c>
    </row>
    <row r="358" spans="1:8" x14ac:dyDescent="0.2">
      <c r="A358" s="2" t="s">
        <v>8</v>
      </c>
      <c r="B358" s="2" t="s">
        <v>31</v>
      </c>
      <c r="C358" s="2">
        <v>24</v>
      </c>
      <c r="D358" s="2" t="s">
        <v>71</v>
      </c>
      <c r="E358" s="2" t="s">
        <v>71</v>
      </c>
      <c r="F358" s="2" t="str">
        <f t="shared" si="13"/>
        <v>RepeatUltrasoundIn1Week</v>
      </c>
      <c r="G358" s="2" t="b">
        <f t="shared" si="10"/>
        <v>1</v>
      </c>
      <c r="H358" s="2" t="str">
        <f t="shared" si="11"/>
        <v>Guideline-compliant</v>
      </c>
    </row>
    <row r="359" spans="1:8" x14ac:dyDescent="0.2">
      <c r="A359" s="2" t="s">
        <v>8</v>
      </c>
      <c r="B359" s="2" t="s">
        <v>31</v>
      </c>
      <c r="C359" s="2">
        <v>25</v>
      </c>
      <c r="D359" s="2" t="s">
        <v>71</v>
      </c>
      <c r="E359" s="2" t="s">
        <v>71</v>
      </c>
      <c r="F359" s="2" t="str">
        <f t="shared" si="13"/>
        <v>RepeatUltrasoundIn1Week</v>
      </c>
      <c r="G359" s="2" t="b">
        <f t="shared" si="10"/>
        <v>1</v>
      </c>
      <c r="H359" s="2" t="str">
        <f t="shared" si="11"/>
        <v>Guideline-compliant</v>
      </c>
    </row>
    <row r="360" spans="1:8" x14ac:dyDescent="0.2">
      <c r="A360" s="2" t="s">
        <v>8</v>
      </c>
      <c r="B360" s="2" t="s">
        <v>31</v>
      </c>
      <c r="C360" s="2">
        <v>26</v>
      </c>
      <c r="D360" s="2" t="s">
        <v>71</v>
      </c>
      <c r="E360" s="2" t="s">
        <v>71</v>
      </c>
      <c r="F360" s="2" t="str">
        <f t="shared" si="13"/>
        <v>RepeatUltrasoundIn1Week</v>
      </c>
      <c r="G360" s="2" t="b">
        <f t="shared" si="10"/>
        <v>1</v>
      </c>
      <c r="H360" s="2" t="str">
        <f t="shared" si="11"/>
        <v>Guideline-compliant</v>
      </c>
    </row>
    <row r="361" spans="1:8" x14ac:dyDescent="0.2">
      <c r="A361" s="2" t="s">
        <v>8</v>
      </c>
      <c r="B361" s="2" t="s">
        <v>31</v>
      </c>
      <c r="C361" s="2">
        <v>27</v>
      </c>
      <c r="D361" s="2" t="s">
        <v>80</v>
      </c>
      <c r="E361" s="2" t="s">
        <v>71</v>
      </c>
      <c r="F361" s="2" t="str">
        <f t="shared" si="13"/>
        <v>RepeatUltrasoundIn1Week</v>
      </c>
      <c r="G361" s="2" t="b">
        <f t="shared" si="10"/>
        <v>1</v>
      </c>
      <c r="H361" s="2" t="str">
        <f t="shared" si="11"/>
        <v>Knowledge-override</v>
      </c>
    </row>
    <row r="362" spans="1:8" x14ac:dyDescent="0.2">
      <c r="A362" s="2" t="s">
        <v>8</v>
      </c>
      <c r="B362" s="2" t="s">
        <v>31</v>
      </c>
      <c r="C362" s="2">
        <v>28</v>
      </c>
      <c r="D362" s="2" t="s">
        <v>71</v>
      </c>
      <c r="E362" s="2" t="s">
        <v>71</v>
      </c>
      <c r="F362" s="2" t="str">
        <f t="shared" si="13"/>
        <v>RepeatUltrasoundIn1Week</v>
      </c>
      <c r="G362" s="2" t="b">
        <f t="shared" si="10"/>
        <v>1</v>
      </c>
      <c r="H362" s="2" t="str">
        <f t="shared" si="11"/>
        <v>Guideline-compliant</v>
      </c>
    </row>
    <row r="363" spans="1:8" x14ac:dyDescent="0.2">
      <c r="A363" s="2" t="s">
        <v>8</v>
      </c>
      <c r="B363" s="2" t="s">
        <v>31</v>
      </c>
      <c r="C363" s="2">
        <v>29</v>
      </c>
      <c r="D363" s="2" t="s">
        <v>71</v>
      </c>
      <c r="E363" s="2" t="s">
        <v>71</v>
      </c>
      <c r="F363" s="2" t="str">
        <f t="shared" si="13"/>
        <v>RepeatUltrasoundIn1Week</v>
      </c>
      <c r="G363" s="2" t="b">
        <f t="shared" si="10"/>
        <v>1</v>
      </c>
      <c r="H363" s="2" t="str">
        <f t="shared" si="11"/>
        <v>Guideline-compliant</v>
      </c>
    </row>
    <row r="364" spans="1:8" x14ac:dyDescent="0.2">
      <c r="A364" s="2" t="s">
        <v>8</v>
      </c>
      <c r="B364" s="2" t="s">
        <v>31</v>
      </c>
      <c r="C364" s="2">
        <v>31</v>
      </c>
      <c r="D364" s="2" t="s">
        <v>71</v>
      </c>
      <c r="E364" s="2" t="s">
        <v>71</v>
      </c>
      <c r="F364" s="2" t="str">
        <f t="shared" si="13"/>
        <v>ExcludeDVT</v>
      </c>
      <c r="G364" s="2" t="b">
        <f t="shared" si="10"/>
        <v>0</v>
      </c>
      <c r="H364" s="2" t="str">
        <f t="shared" si="11"/>
        <v>No Conflict (Correct)</v>
      </c>
    </row>
    <row r="365" spans="1:8" x14ac:dyDescent="0.2">
      <c r="A365" s="2" t="s">
        <v>8</v>
      </c>
      <c r="B365" s="2" t="s">
        <v>31</v>
      </c>
      <c r="C365" s="2">
        <v>32</v>
      </c>
      <c r="D365" s="2" t="s">
        <v>71</v>
      </c>
      <c r="E365" s="2" t="s">
        <v>71</v>
      </c>
      <c r="F365" s="2" t="str">
        <f t="shared" si="13"/>
        <v>ExcludeDVT</v>
      </c>
      <c r="G365" s="2" t="b">
        <f t="shared" si="10"/>
        <v>0</v>
      </c>
      <c r="H365" s="2" t="str">
        <f t="shared" si="11"/>
        <v>No Conflict (Correct)</v>
      </c>
    </row>
    <row r="366" spans="1:8" x14ac:dyDescent="0.2">
      <c r="A366" s="2" t="s">
        <v>8</v>
      </c>
      <c r="B366" s="2" t="s">
        <v>31</v>
      </c>
      <c r="C366" s="2">
        <v>41</v>
      </c>
      <c r="D366" s="2" t="s">
        <v>73</v>
      </c>
      <c r="E366" s="2" t="s">
        <v>73</v>
      </c>
      <c r="F366" s="2" t="str">
        <f t="shared" si="13"/>
        <v>TreatAnticoagulation</v>
      </c>
      <c r="G366" s="2" t="b">
        <f t="shared" si="10"/>
        <v>0</v>
      </c>
      <c r="H366" s="2" t="str">
        <f t="shared" si="11"/>
        <v>No Conflict (Correct)</v>
      </c>
    </row>
    <row r="367" spans="1:8" x14ac:dyDescent="0.2">
      <c r="A367" s="2" t="s">
        <v>27</v>
      </c>
      <c r="B367" s="2" t="s">
        <v>31</v>
      </c>
      <c r="C367" s="2">
        <v>1</v>
      </c>
      <c r="D367" s="2" t="s">
        <v>28</v>
      </c>
      <c r="E367" s="2" t="s">
        <v>71</v>
      </c>
      <c r="F367" s="2" t="str">
        <f t="shared" si="13"/>
        <v>ExcludeDVT</v>
      </c>
      <c r="G367" s="2" t="b">
        <f t="shared" si="10"/>
        <v>0</v>
      </c>
      <c r="H367" s="2" t="str">
        <f t="shared" si="11"/>
        <v>Parse Error</v>
      </c>
    </row>
    <row r="368" spans="1:8" x14ac:dyDescent="0.2">
      <c r="A368" s="2" t="s">
        <v>27</v>
      </c>
      <c r="B368" s="2" t="s">
        <v>31</v>
      </c>
      <c r="C368" s="2">
        <v>2</v>
      </c>
      <c r="D368" s="2" t="s">
        <v>28</v>
      </c>
      <c r="E368" s="2" t="s">
        <v>71</v>
      </c>
      <c r="F368" s="2" t="str">
        <f t="shared" si="13"/>
        <v>ExcludeDVT</v>
      </c>
      <c r="G368" s="2" t="b">
        <f t="shared" si="10"/>
        <v>0</v>
      </c>
      <c r="H368" s="2" t="str">
        <f t="shared" si="11"/>
        <v>Parse Error</v>
      </c>
    </row>
    <row r="369" spans="1:8" x14ac:dyDescent="0.2">
      <c r="A369" s="2" t="s">
        <v>27</v>
      </c>
      <c r="B369" s="2" t="s">
        <v>31</v>
      </c>
      <c r="C369" s="2">
        <v>3</v>
      </c>
      <c r="D369" s="2" t="s">
        <v>28</v>
      </c>
      <c r="E369" s="2" t="s">
        <v>71</v>
      </c>
      <c r="F369" s="2" t="str">
        <f t="shared" si="13"/>
        <v>ExcludeDVT</v>
      </c>
      <c r="G369" s="2" t="b">
        <f t="shared" si="10"/>
        <v>0</v>
      </c>
      <c r="H369" s="2" t="str">
        <f t="shared" si="11"/>
        <v>Parse Error</v>
      </c>
    </row>
    <row r="370" spans="1:8" x14ac:dyDescent="0.2">
      <c r="A370" s="2" t="s">
        <v>27</v>
      </c>
      <c r="B370" s="2" t="s">
        <v>31</v>
      </c>
      <c r="C370" s="2">
        <v>4</v>
      </c>
      <c r="D370" s="2" t="s">
        <v>28</v>
      </c>
      <c r="E370" s="2" t="s">
        <v>73</v>
      </c>
      <c r="F370" s="2" t="str">
        <f t="shared" si="13"/>
        <v>TreatAnticoagulation</v>
      </c>
      <c r="G370" s="2" t="b">
        <f t="shared" si="10"/>
        <v>0</v>
      </c>
      <c r="H370" s="2" t="str">
        <f t="shared" si="11"/>
        <v>Parse Error</v>
      </c>
    </row>
    <row r="371" spans="1:8" x14ac:dyDescent="0.2">
      <c r="A371" s="2" t="s">
        <v>27</v>
      </c>
      <c r="B371" s="2" t="s">
        <v>31</v>
      </c>
      <c r="C371" s="2">
        <v>11</v>
      </c>
      <c r="D371" s="2" t="s">
        <v>28</v>
      </c>
      <c r="E371" s="2" t="s">
        <v>71</v>
      </c>
      <c r="F371" s="2" t="str">
        <f t="shared" si="13"/>
        <v>ExcludeDVT</v>
      </c>
      <c r="G371" s="2" t="b">
        <f t="shared" si="10"/>
        <v>0</v>
      </c>
      <c r="H371" s="2" t="str">
        <f t="shared" si="11"/>
        <v>Parse Error</v>
      </c>
    </row>
    <row r="372" spans="1:8" x14ac:dyDescent="0.2">
      <c r="A372" s="2" t="s">
        <v>27</v>
      </c>
      <c r="B372" s="2" t="s">
        <v>31</v>
      </c>
      <c r="C372" s="2">
        <v>12</v>
      </c>
      <c r="D372" s="2" t="s">
        <v>28</v>
      </c>
      <c r="E372" s="2" t="s">
        <v>71</v>
      </c>
      <c r="F372" s="2" t="str">
        <f t="shared" si="13"/>
        <v>TreatAnticoagulation</v>
      </c>
      <c r="G372" s="2" t="b">
        <f t="shared" si="10"/>
        <v>1</v>
      </c>
      <c r="H372" s="2" t="str">
        <f t="shared" si="11"/>
        <v>Parse Error</v>
      </c>
    </row>
    <row r="373" spans="1:8" x14ac:dyDescent="0.2">
      <c r="A373" s="2" t="s">
        <v>27</v>
      </c>
      <c r="B373" s="2" t="s">
        <v>31</v>
      </c>
      <c r="C373" s="2">
        <v>13</v>
      </c>
      <c r="D373" s="2" t="s">
        <v>28</v>
      </c>
      <c r="E373" s="2" t="s">
        <v>73</v>
      </c>
      <c r="F373" s="2" t="str">
        <f t="shared" si="13"/>
        <v>TreatAnticoagulation</v>
      </c>
      <c r="G373" s="2" t="b">
        <f t="shared" si="10"/>
        <v>0</v>
      </c>
      <c r="H373" s="2" t="str">
        <f t="shared" si="11"/>
        <v>Parse Error</v>
      </c>
    </row>
    <row r="374" spans="1:8" x14ac:dyDescent="0.2">
      <c r="A374" s="2" t="s">
        <v>27</v>
      </c>
      <c r="B374" s="2" t="s">
        <v>31</v>
      </c>
      <c r="C374" s="2">
        <v>14</v>
      </c>
      <c r="D374" s="2" t="s">
        <v>28</v>
      </c>
      <c r="E374" s="2" t="s">
        <v>71</v>
      </c>
      <c r="F374" s="2" t="str">
        <f t="shared" si="13"/>
        <v>RepeatUltrasoundIn1Week</v>
      </c>
      <c r="G374" s="2" t="b">
        <f t="shared" si="10"/>
        <v>1</v>
      </c>
      <c r="H374" s="2" t="str">
        <f t="shared" si="11"/>
        <v>Parse Error</v>
      </c>
    </row>
    <row r="375" spans="1:8" x14ac:dyDescent="0.2">
      <c r="A375" s="2" t="s">
        <v>27</v>
      </c>
      <c r="B375" s="2" t="s">
        <v>31</v>
      </c>
      <c r="C375" s="2">
        <v>21</v>
      </c>
      <c r="D375" s="2" t="s">
        <v>28</v>
      </c>
      <c r="E375" s="2" t="s">
        <v>71</v>
      </c>
      <c r="F375" s="2" t="str">
        <f t="shared" si="13"/>
        <v>ExcludeDVT</v>
      </c>
      <c r="G375" s="2" t="b">
        <f t="shared" si="10"/>
        <v>0</v>
      </c>
      <c r="H375" s="2" t="str">
        <f t="shared" si="11"/>
        <v>Parse Error</v>
      </c>
    </row>
    <row r="376" spans="1:8" x14ac:dyDescent="0.2">
      <c r="A376" s="2" t="s">
        <v>27</v>
      </c>
      <c r="B376" s="2" t="s">
        <v>31</v>
      </c>
      <c r="C376" s="2">
        <v>22</v>
      </c>
      <c r="D376" s="2" t="s">
        <v>28</v>
      </c>
      <c r="E376" s="2" t="s">
        <v>71</v>
      </c>
      <c r="F376" s="2" t="str">
        <f t="shared" si="13"/>
        <v>RepeatUltrasoundIn1Week</v>
      </c>
      <c r="G376" s="2" t="b">
        <f t="shared" si="10"/>
        <v>1</v>
      </c>
      <c r="H376" s="2" t="str">
        <f t="shared" si="11"/>
        <v>Parse Error</v>
      </c>
    </row>
    <row r="377" spans="1:8" x14ac:dyDescent="0.2">
      <c r="A377" s="2" t="s">
        <v>27</v>
      </c>
      <c r="B377" s="2" t="s">
        <v>31</v>
      </c>
      <c r="C377" s="2">
        <v>23</v>
      </c>
      <c r="D377" s="2" t="s">
        <v>28</v>
      </c>
      <c r="E377" s="2" t="s">
        <v>71</v>
      </c>
      <c r="F377" s="2" t="str">
        <f t="shared" si="13"/>
        <v>RepeatUltrasoundIn1Week</v>
      </c>
      <c r="G377" s="2" t="b">
        <f t="shared" si="10"/>
        <v>1</v>
      </c>
      <c r="H377" s="2" t="str">
        <f t="shared" si="11"/>
        <v>Parse Error</v>
      </c>
    </row>
    <row r="378" spans="1:8" x14ac:dyDescent="0.2">
      <c r="A378" s="2" t="s">
        <v>27</v>
      </c>
      <c r="B378" s="2" t="s">
        <v>31</v>
      </c>
      <c r="C378" s="2">
        <v>24</v>
      </c>
      <c r="D378" s="2" t="s">
        <v>28</v>
      </c>
      <c r="E378" s="2" t="s">
        <v>71</v>
      </c>
      <c r="F378" s="2" t="str">
        <f t="shared" si="13"/>
        <v>RepeatUltrasoundIn1Week</v>
      </c>
      <c r="G378" s="2" t="b">
        <f t="shared" si="10"/>
        <v>1</v>
      </c>
      <c r="H378" s="2" t="str">
        <f t="shared" si="11"/>
        <v>Parse Error</v>
      </c>
    </row>
    <row r="379" spans="1:8" x14ac:dyDescent="0.2">
      <c r="A379" s="2" t="s">
        <v>27</v>
      </c>
      <c r="B379" s="2" t="s">
        <v>31</v>
      </c>
      <c r="C379" s="2">
        <v>25</v>
      </c>
      <c r="D379" s="2" t="s">
        <v>28</v>
      </c>
      <c r="E379" s="2" t="s">
        <v>71</v>
      </c>
      <c r="F379" s="2" t="str">
        <f t="shared" si="13"/>
        <v>RepeatUltrasoundIn1Week</v>
      </c>
      <c r="G379" s="2" t="b">
        <f t="shared" si="10"/>
        <v>1</v>
      </c>
      <c r="H379" s="2" t="str">
        <f t="shared" si="11"/>
        <v>Parse Error</v>
      </c>
    </row>
    <row r="380" spans="1:8" x14ac:dyDescent="0.2">
      <c r="A380" s="2" t="s">
        <v>27</v>
      </c>
      <c r="B380" s="2" t="s">
        <v>31</v>
      </c>
      <c r="C380" s="2">
        <v>26</v>
      </c>
      <c r="D380" s="2" t="s">
        <v>28</v>
      </c>
      <c r="E380" s="2" t="s">
        <v>71</v>
      </c>
      <c r="F380" s="2" t="str">
        <f t="shared" si="13"/>
        <v>RepeatUltrasoundIn1Week</v>
      </c>
      <c r="G380" s="2" t="b">
        <f t="shared" si="10"/>
        <v>1</v>
      </c>
      <c r="H380" s="2" t="str">
        <f t="shared" si="11"/>
        <v>Parse Error</v>
      </c>
    </row>
    <row r="381" spans="1:8" x14ac:dyDescent="0.2">
      <c r="A381" s="2" t="s">
        <v>27</v>
      </c>
      <c r="B381" s="2" t="s">
        <v>31</v>
      </c>
      <c r="C381" s="2">
        <v>27</v>
      </c>
      <c r="D381" s="2" t="s">
        <v>28</v>
      </c>
      <c r="E381" s="2" t="s">
        <v>71</v>
      </c>
      <c r="F381" s="2" t="str">
        <f t="shared" si="13"/>
        <v>RepeatUltrasoundIn1Week</v>
      </c>
      <c r="G381" s="2" t="b">
        <f t="shared" si="10"/>
        <v>1</v>
      </c>
      <c r="H381" s="2" t="str">
        <f t="shared" si="11"/>
        <v>Parse Error</v>
      </c>
    </row>
    <row r="382" spans="1:8" x14ac:dyDescent="0.2">
      <c r="A382" s="2" t="s">
        <v>27</v>
      </c>
      <c r="B382" s="2" t="s">
        <v>31</v>
      </c>
      <c r="C382" s="2">
        <v>28</v>
      </c>
      <c r="D382" s="2" t="s">
        <v>28</v>
      </c>
      <c r="E382" s="2" t="s">
        <v>71</v>
      </c>
      <c r="F382" s="2" t="str">
        <f t="shared" si="13"/>
        <v>RepeatUltrasoundIn1Week</v>
      </c>
      <c r="G382" s="2" t="b">
        <f t="shared" si="10"/>
        <v>1</v>
      </c>
      <c r="H382" s="2" t="str">
        <f t="shared" si="11"/>
        <v>Parse Error</v>
      </c>
    </row>
    <row r="383" spans="1:8" x14ac:dyDescent="0.2">
      <c r="A383" s="2" t="s">
        <v>27</v>
      </c>
      <c r="B383" s="2" t="s">
        <v>31</v>
      </c>
      <c r="C383" s="2">
        <v>29</v>
      </c>
      <c r="D383" s="2" t="s">
        <v>28</v>
      </c>
      <c r="E383" s="2" t="s">
        <v>71</v>
      </c>
      <c r="F383" s="2" t="str">
        <f t="shared" si="13"/>
        <v>RepeatUltrasoundIn1Week</v>
      </c>
      <c r="G383" s="2" t="b">
        <f t="shared" si="10"/>
        <v>1</v>
      </c>
      <c r="H383" s="2" t="str">
        <f t="shared" si="11"/>
        <v>Parse Error</v>
      </c>
    </row>
    <row r="384" spans="1:8" x14ac:dyDescent="0.2">
      <c r="A384" s="2" t="s">
        <v>27</v>
      </c>
      <c r="B384" s="2" t="s">
        <v>31</v>
      </c>
      <c r="C384" s="2">
        <v>31</v>
      </c>
      <c r="D384" s="2" t="s">
        <v>28</v>
      </c>
      <c r="E384" s="2" t="s">
        <v>71</v>
      </c>
      <c r="F384" s="2" t="str">
        <f t="shared" si="13"/>
        <v>ExcludeDVT</v>
      </c>
      <c r="G384" s="2" t="b">
        <f t="shared" si="10"/>
        <v>0</v>
      </c>
      <c r="H384" s="2" t="str">
        <f t="shared" si="11"/>
        <v>Parse Error</v>
      </c>
    </row>
    <row r="385" spans="1:8" x14ac:dyDescent="0.2">
      <c r="A385" s="2" t="s">
        <v>27</v>
      </c>
      <c r="B385" s="2" t="s">
        <v>31</v>
      </c>
      <c r="C385" s="2">
        <v>32</v>
      </c>
      <c r="D385" s="2" t="s">
        <v>28</v>
      </c>
      <c r="E385" s="2" t="s">
        <v>71</v>
      </c>
      <c r="F385" s="2" t="str">
        <f t="shared" si="13"/>
        <v>ExcludeDVT</v>
      </c>
      <c r="G385" s="2" t="b">
        <f t="shared" si="10"/>
        <v>0</v>
      </c>
      <c r="H385" s="2" t="str">
        <f t="shared" si="11"/>
        <v>Parse Error</v>
      </c>
    </row>
    <row r="386" spans="1:8" x14ac:dyDescent="0.2">
      <c r="A386" s="2" t="s">
        <v>27</v>
      </c>
      <c r="B386" s="2" t="s">
        <v>31</v>
      </c>
      <c r="C386" s="2">
        <v>41</v>
      </c>
      <c r="D386" s="2" t="s">
        <v>28</v>
      </c>
      <c r="E386" s="2" t="s">
        <v>73</v>
      </c>
      <c r="F386" s="2" t="str">
        <f t="shared" si="13"/>
        <v>TreatAnticoagulation</v>
      </c>
      <c r="G386" s="2" t="b">
        <f t="shared" si="10"/>
        <v>0</v>
      </c>
      <c r="H386" s="2" t="str">
        <f t="shared" si="11"/>
        <v>Parse Error</v>
      </c>
    </row>
    <row r="387" spans="1:8" x14ac:dyDescent="0.2">
      <c r="A387" s="2" t="s">
        <v>29</v>
      </c>
      <c r="B387" s="2" t="s">
        <v>31</v>
      </c>
      <c r="C387" s="2">
        <v>1</v>
      </c>
      <c r="D387" s="2" t="s">
        <v>71</v>
      </c>
      <c r="E387" s="2" t="s">
        <v>71</v>
      </c>
      <c r="F387" s="2" t="str">
        <f t="shared" si="13"/>
        <v>ExcludeDVT</v>
      </c>
      <c r="G387" s="2" t="b">
        <f t="shared" si="10"/>
        <v>0</v>
      </c>
      <c r="H387" s="2" t="str">
        <f t="shared" si="11"/>
        <v>No Conflict (Correct)</v>
      </c>
    </row>
    <row r="388" spans="1:8" x14ac:dyDescent="0.2">
      <c r="A388" s="2" t="s">
        <v>29</v>
      </c>
      <c r="B388" s="2" t="s">
        <v>31</v>
      </c>
      <c r="C388" s="2">
        <v>2</v>
      </c>
      <c r="D388" s="2" t="s">
        <v>71</v>
      </c>
      <c r="E388" s="2" t="s">
        <v>71</v>
      </c>
      <c r="F388" s="2" t="str">
        <f t="shared" si="13"/>
        <v>ExcludeDVT</v>
      </c>
      <c r="G388" s="2" t="b">
        <f t="shared" si="10"/>
        <v>0</v>
      </c>
      <c r="H388" s="2" t="str">
        <f t="shared" si="11"/>
        <v>No Conflict (Correct)</v>
      </c>
    </row>
    <row r="389" spans="1:8" x14ac:dyDescent="0.2">
      <c r="A389" s="2" t="s">
        <v>29</v>
      </c>
      <c r="B389" s="2" t="s">
        <v>31</v>
      </c>
      <c r="C389" s="2">
        <v>3</v>
      </c>
      <c r="D389" s="2" t="s">
        <v>71</v>
      </c>
      <c r="E389" s="2" t="s">
        <v>71</v>
      </c>
      <c r="F389" s="2" t="str">
        <f t="shared" si="13"/>
        <v>ExcludeDVT</v>
      </c>
      <c r="G389" s="2" t="b">
        <f t="shared" si="10"/>
        <v>0</v>
      </c>
      <c r="H389" s="2" t="str">
        <f t="shared" si="11"/>
        <v>No Conflict (Correct)</v>
      </c>
    </row>
    <row r="390" spans="1:8" x14ac:dyDescent="0.2">
      <c r="A390" s="2" t="s">
        <v>29</v>
      </c>
      <c r="B390" s="2" t="s">
        <v>31</v>
      </c>
      <c r="C390" s="2">
        <v>4</v>
      </c>
      <c r="D390" s="2" t="s">
        <v>73</v>
      </c>
      <c r="E390" s="2" t="s">
        <v>73</v>
      </c>
      <c r="F390" s="2" t="str">
        <f t="shared" si="13"/>
        <v>TreatAnticoagulation</v>
      </c>
      <c r="G390" s="2" t="b">
        <f t="shared" si="10"/>
        <v>0</v>
      </c>
      <c r="H390" s="2" t="str">
        <f t="shared" si="11"/>
        <v>No Conflict (Correct)</v>
      </c>
    </row>
    <row r="391" spans="1:8" x14ac:dyDescent="0.2">
      <c r="A391" s="2" t="s">
        <v>29</v>
      </c>
      <c r="B391" s="2" t="s">
        <v>31</v>
      </c>
      <c r="C391" s="2">
        <v>11</v>
      </c>
      <c r="D391" s="2" t="s">
        <v>71</v>
      </c>
      <c r="E391" s="2" t="s">
        <v>71</v>
      </c>
      <c r="F391" s="2" t="str">
        <f t="shared" si="13"/>
        <v>ExcludeDVT</v>
      </c>
      <c r="G391" s="2" t="b">
        <f t="shared" si="10"/>
        <v>0</v>
      </c>
      <c r="H391" s="2" t="str">
        <f t="shared" si="11"/>
        <v>No Conflict (Correct)</v>
      </c>
    </row>
    <row r="392" spans="1:8" x14ac:dyDescent="0.2">
      <c r="A392" s="2" t="s">
        <v>29</v>
      </c>
      <c r="B392" s="2" t="s">
        <v>31</v>
      </c>
      <c r="C392" s="2">
        <v>12</v>
      </c>
      <c r="D392" s="2" t="s">
        <v>73</v>
      </c>
      <c r="E392" s="2" t="s">
        <v>71</v>
      </c>
      <c r="F392" s="2" t="str">
        <f t="shared" si="13"/>
        <v>TreatAnticoagulation</v>
      </c>
      <c r="G392" s="2" t="b">
        <f t="shared" si="10"/>
        <v>1</v>
      </c>
      <c r="H392" s="2" t="str">
        <f t="shared" si="11"/>
        <v>Knowledge-override</v>
      </c>
    </row>
    <row r="393" spans="1:8" x14ac:dyDescent="0.2">
      <c r="A393" s="2" t="s">
        <v>29</v>
      </c>
      <c r="B393" s="2" t="s">
        <v>31</v>
      </c>
      <c r="C393" s="2">
        <v>13</v>
      </c>
      <c r="D393" s="2" t="s">
        <v>73</v>
      </c>
      <c r="E393" s="2" t="s">
        <v>73</v>
      </c>
      <c r="F393" s="2" t="str">
        <f t="shared" si="13"/>
        <v>TreatAnticoagulation</v>
      </c>
      <c r="G393" s="2" t="b">
        <f t="shared" si="10"/>
        <v>0</v>
      </c>
      <c r="H393" s="2" t="str">
        <f t="shared" si="11"/>
        <v>No Conflict (Correct)</v>
      </c>
    </row>
    <row r="394" spans="1:8" x14ac:dyDescent="0.2">
      <c r="A394" s="2" t="s">
        <v>29</v>
      </c>
      <c r="B394" s="2" t="s">
        <v>31</v>
      </c>
      <c r="C394" s="2">
        <v>14</v>
      </c>
      <c r="D394" s="2" t="s">
        <v>73</v>
      </c>
      <c r="E394" s="2" t="s">
        <v>71</v>
      </c>
      <c r="F394" s="2" t="str">
        <f t="shared" si="13"/>
        <v>RepeatUltrasoundIn1Week</v>
      </c>
      <c r="G394" s="2" t="b">
        <f t="shared" si="10"/>
        <v>1</v>
      </c>
      <c r="H394" s="2" t="str">
        <f t="shared" si="11"/>
        <v>Neither</v>
      </c>
    </row>
    <row r="395" spans="1:8" x14ac:dyDescent="0.2">
      <c r="A395" s="2" t="s">
        <v>29</v>
      </c>
      <c r="B395" s="2" t="s">
        <v>31</v>
      </c>
      <c r="C395" s="2">
        <v>21</v>
      </c>
      <c r="D395" s="2" t="s">
        <v>73</v>
      </c>
      <c r="E395" s="2" t="s">
        <v>71</v>
      </c>
      <c r="F395" s="2" t="str">
        <f t="shared" si="13"/>
        <v>ExcludeDVT</v>
      </c>
      <c r="G395" s="2" t="b">
        <f t="shared" ref="G395:G458" si="14">IF(F395="N/A",FALSE(),E395&lt;&gt;F395)</f>
        <v>0</v>
      </c>
      <c r="H395" s="2" t="str">
        <f t="shared" ref="H395:H458" si="15">IF(D395="PARSE_ERROR","Parse Error",IF(NOT(G395),IF(D395=E395,"No Conflict (Correct)","No Conflict (Incorrect)"),IF(D395=E395,"Guideline-compliant",IF(D395=F395,"Knowledge-override","Neither"))))</f>
        <v>No Conflict (Incorrect)</v>
      </c>
    </row>
    <row r="396" spans="1:8" x14ac:dyDescent="0.2">
      <c r="A396" s="2" t="s">
        <v>29</v>
      </c>
      <c r="B396" s="2" t="s">
        <v>31</v>
      </c>
      <c r="C396" s="2">
        <v>22</v>
      </c>
      <c r="D396" s="2" t="s">
        <v>73</v>
      </c>
      <c r="E396" s="2" t="s">
        <v>71</v>
      </c>
      <c r="F396" s="2" t="str">
        <f t="shared" si="13"/>
        <v>RepeatUltrasoundIn1Week</v>
      </c>
      <c r="G396" s="2" t="b">
        <f t="shared" si="14"/>
        <v>1</v>
      </c>
      <c r="H396" s="2" t="str">
        <f t="shared" si="15"/>
        <v>Neither</v>
      </c>
    </row>
    <row r="397" spans="1:8" x14ac:dyDescent="0.2">
      <c r="A397" s="2" t="s">
        <v>29</v>
      </c>
      <c r="B397" s="2" t="s">
        <v>31</v>
      </c>
      <c r="C397" s="2">
        <v>23</v>
      </c>
      <c r="D397" s="2" t="s">
        <v>73</v>
      </c>
      <c r="E397" s="2" t="s">
        <v>71</v>
      </c>
      <c r="F397" s="2" t="str">
        <f t="shared" si="13"/>
        <v>RepeatUltrasoundIn1Week</v>
      </c>
      <c r="G397" s="2" t="b">
        <f t="shared" si="14"/>
        <v>1</v>
      </c>
      <c r="H397" s="2" t="str">
        <f t="shared" si="15"/>
        <v>Neither</v>
      </c>
    </row>
    <row r="398" spans="1:8" x14ac:dyDescent="0.2">
      <c r="A398" s="2" t="s">
        <v>29</v>
      </c>
      <c r="B398" s="2" t="s">
        <v>31</v>
      </c>
      <c r="C398" s="2">
        <v>24</v>
      </c>
      <c r="D398" s="2" t="s">
        <v>80</v>
      </c>
      <c r="E398" s="2" t="s">
        <v>71</v>
      </c>
      <c r="F398" s="2" t="str">
        <f t="shared" si="13"/>
        <v>RepeatUltrasoundIn1Week</v>
      </c>
      <c r="G398" s="2" t="b">
        <f t="shared" si="14"/>
        <v>1</v>
      </c>
      <c r="H398" s="2" t="str">
        <f t="shared" si="15"/>
        <v>Knowledge-override</v>
      </c>
    </row>
    <row r="399" spans="1:8" x14ac:dyDescent="0.2">
      <c r="A399" s="2" t="s">
        <v>29</v>
      </c>
      <c r="B399" s="2" t="s">
        <v>31</v>
      </c>
      <c r="C399" s="2">
        <v>25</v>
      </c>
      <c r="D399" s="2" t="s">
        <v>73</v>
      </c>
      <c r="E399" s="2" t="s">
        <v>71</v>
      </c>
      <c r="F399" s="2" t="str">
        <f t="shared" si="13"/>
        <v>RepeatUltrasoundIn1Week</v>
      </c>
      <c r="G399" s="2" t="b">
        <f t="shared" si="14"/>
        <v>1</v>
      </c>
      <c r="H399" s="2" t="str">
        <f t="shared" si="15"/>
        <v>Neither</v>
      </c>
    </row>
    <row r="400" spans="1:8" x14ac:dyDescent="0.2">
      <c r="A400" s="2" t="s">
        <v>29</v>
      </c>
      <c r="B400" s="2" t="s">
        <v>31</v>
      </c>
      <c r="C400" s="2">
        <v>26</v>
      </c>
      <c r="D400" s="2" t="s">
        <v>80</v>
      </c>
      <c r="E400" s="2" t="s">
        <v>71</v>
      </c>
      <c r="F400" s="2" t="str">
        <f t="shared" si="13"/>
        <v>RepeatUltrasoundIn1Week</v>
      </c>
      <c r="G400" s="2" t="b">
        <f t="shared" si="14"/>
        <v>1</v>
      </c>
      <c r="H400" s="2" t="str">
        <f t="shared" si="15"/>
        <v>Knowledge-override</v>
      </c>
    </row>
    <row r="401" spans="1:8" x14ac:dyDescent="0.2">
      <c r="A401" s="2" t="s">
        <v>29</v>
      </c>
      <c r="B401" s="2" t="s">
        <v>31</v>
      </c>
      <c r="C401" s="2">
        <v>27</v>
      </c>
      <c r="D401" s="2" t="s">
        <v>80</v>
      </c>
      <c r="E401" s="2" t="s">
        <v>71</v>
      </c>
      <c r="F401" s="2" t="str">
        <f t="shared" si="13"/>
        <v>RepeatUltrasoundIn1Week</v>
      </c>
      <c r="G401" s="2" t="b">
        <f t="shared" si="14"/>
        <v>1</v>
      </c>
      <c r="H401" s="2" t="str">
        <f t="shared" si="15"/>
        <v>Knowledge-override</v>
      </c>
    </row>
    <row r="402" spans="1:8" x14ac:dyDescent="0.2">
      <c r="A402" s="2" t="s">
        <v>29</v>
      </c>
      <c r="B402" s="2" t="s">
        <v>31</v>
      </c>
      <c r="C402" s="2">
        <v>28</v>
      </c>
      <c r="D402" s="2" t="s">
        <v>73</v>
      </c>
      <c r="E402" s="2" t="s">
        <v>71</v>
      </c>
      <c r="F402" s="2" t="str">
        <f t="shared" si="13"/>
        <v>RepeatUltrasoundIn1Week</v>
      </c>
      <c r="G402" s="2" t="b">
        <f t="shared" si="14"/>
        <v>1</v>
      </c>
      <c r="H402" s="2" t="str">
        <f t="shared" si="15"/>
        <v>Neither</v>
      </c>
    </row>
    <row r="403" spans="1:8" x14ac:dyDescent="0.2">
      <c r="A403" s="2" t="s">
        <v>29</v>
      </c>
      <c r="B403" s="2" t="s">
        <v>31</v>
      </c>
      <c r="C403" s="2">
        <v>29</v>
      </c>
      <c r="D403" s="2" t="s">
        <v>80</v>
      </c>
      <c r="E403" s="2" t="s">
        <v>71</v>
      </c>
      <c r="F403" s="2" t="str">
        <f t="shared" si="13"/>
        <v>RepeatUltrasoundIn1Week</v>
      </c>
      <c r="G403" s="2" t="b">
        <f t="shared" si="14"/>
        <v>1</v>
      </c>
      <c r="H403" s="2" t="str">
        <f t="shared" si="15"/>
        <v>Knowledge-override</v>
      </c>
    </row>
    <row r="404" spans="1:8" x14ac:dyDescent="0.2">
      <c r="A404" s="2" t="s">
        <v>29</v>
      </c>
      <c r="B404" s="2" t="s">
        <v>31</v>
      </c>
      <c r="C404" s="2">
        <v>31</v>
      </c>
      <c r="D404" s="2" t="s">
        <v>80</v>
      </c>
      <c r="E404" s="2" t="s">
        <v>71</v>
      </c>
      <c r="F404" s="2" t="str">
        <f t="shared" si="13"/>
        <v>ExcludeDVT</v>
      </c>
      <c r="G404" s="2" t="b">
        <f t="shared" si="14"/>
        <v>0</v>
      </c>
      <c r="H404" s="2" t="str">
        <f t="shared" si="15"/>
        <v>No Conflict (Incorrect)</v>
      </c>
    </row>
    <row r="405" spans="1:8" x14ac:dyDescent="0.2">
      <c r="A405" s="2" t="s">
        <v>29</v>
      </c>
      <c r="B405" s="2" t="s">
        <v>31</v>
      </c>
      <c r="C405" s="2">
        <v>32</v>
      </c>
      <c r="D405" s="2" t="s">
        <v>71</v>
      </c>
      <c r="E405" s="2" t="s">
        <v>71</v>
      </c>
      <c r="F405" s="2" t="str">
        <f t="shared" si="13"/>
        <v>ExcludeDVT</v>
      </c>
      <c r="G405" s="2" t="b">
        <f t="shared" si="14"/>
        <v>0</v>
      </c>
      <c r="H405" s="2" t="str">
        <f t="shared" si="15"/>
        <v>No Conflict (Correct)</v>
      </c>
    </row>
    <row r="406" spans="1:8" x14ac:dyDescent="0.2">
      <c r="A406" s="2" t="s">
        <v>29</v>
      </c>
      <c r="B406" s="2" t="s">
        <v>31</v>
      </c>
      <c r="C406" s="2">
        <v>41</v>
      </c>
      <c r="D406" s="2" t="s">
        <v>73</v>
      </c>
      <c r="E406" s="2" t="s">
        <v>73</v>
      </c>
      <c r="F406" s="2" t="str">
        <f t="shared" si="13"/>
        <v>TreatAnticoagulation</v>
      </c>
      <c r="G406" s="2" t="b">
        <f t="shared" si="14"/>
        <v>0</v>
      </c>
      <c r="H406" s="2" t="str">
        <f t="shared" si="15"/>
        <v>No Conflict (Correct)</v>
      </c>
    </row>
    <row r="407" spans="1:8" x14ac:dyDescent="0.2">
      <c r="A407" s="2" t="s">
        <v>30</v>
      </c>
      <c r="B407" s="2" t="s">
        <v>31</v>
      </c>
      <c r="C407" s="2">
        <v>1</v>
      </c>
      <c r="D407" s="2" t="s">
        <v>28</v>
      </c>
      <c r="E407" s="2" t="s">
        <v>71</v>
      </c>
      <c r="F407" s="2" t="str">
        <f t="shared" si="13"/>
        <v>ExcludeDVT</v>
      </c>
      <c r="G407" s="2" t="b">
        <f t="shared" si="14"/>
        <v>0</v>
      </c>
      <c r="H407" s="2" t="str">
        <f t="shared" si="15"/>
        <v>Parse Error</v>
      </c>
    </row>
    <row r="408" spans="1:8" x14ac:dyDescent="0.2">
      <c r="A408" s="2" t="s">
        <v>30</v>
      </c>
      <c r="B408" s="2" t="s">
        <v>31</v>
      </c>
      <c r="C408" s="2">
        <v>2</v>
      </c>
      <c r="D408" s="2" t="s">
        <v>28</v>
      </c>
      <c r="E408" s="2" t="s">
        <v>71</v>
      </c>
      <c r="F408" s="2" t="str">
        <f t="shared" si="13"/>
        <v>ExcludeDVT</v>
      </c>
      <c r="G408" s="2" t="b">
        <f t="shared" si="14"/>
        <v>0</v>
      </c>
      <c r="H408" s="2" t="str">
        <f t="shared" si="15"/>
        <v>Parse Error</v>
      </c>
    </row>
    <row r="409" spans="1:8" x14ac:dyDescent="0.2">
      <c r="A409" s="2" t="s">
        <v>30</v>
      </c>
      <c r="B409" s="2" t="s">
        <v>31</v>
      </c>
      <c r="C409" s="2">
        <v>3</v>
      </c>
      <c r="D409" s="2" t="s">
        <v>28</v>
      </c>
      <c r="E409" s="2" t="s">
        <v>71</v>
      </c>
      <c r="F409" s="2" t="str">
        <f t="shared" si="13"/>
        <v>ExcludeDVT</v>
      </c>
      <c r="G409" s="2" t="b">
        <f t="shared" si="14"/>
        <v>0</v>
      </c>
      <c r="H409" s="2" t="str">
        <f t="shared" si="15"/>
        <v>Parse Error</v>
      </c>
    </row>
    <row r="410" spans="1:8" x14ac:dyDescent="0.2">
      <c r="A410" s="2" t="s">
        <v>30</v>
      </c>
      <c r="B410" s="2" t="s">
        <v>31</v>
      </c>
      <c r="C410" s="2">
        <v>4</v>
      </c>
      <c r="D410" s="2" t="s">
        <v>28</v>
      </c>
      <c r="E410" s="2" t="s">
        <v>73</v>
      </c>
      <c r="F410" s="2" t="str">
        <f t="shared" ref="F410:F473" si="16">IFERROR(INDEX($K$267:$K$286,MATCH(C410,$J$267:$J$286,0)),"N/A")</f>
        <v>TreatAnticoagulation</v>
      </c>
      <c r="G410" s="2" t="b">
        <f t="shared" si="14"/>
        <v>0</v>
      </c>
      <c r="H410" s="2" t="str">
        <f t="shared" si="15"/>
        <v>Parse Error</v>
      </c>
    </row>
    <row r="411" spans="1:8" x14ac:dyDescent="0.2">
      <c r="A411" s="2" t="s">
        <v>30</v>
      </c>
      <c r="B411" s="2" t="s">
        <v>31</v>
      </c>
      <c r="C411" s="2">
        <v>11</v>
      </c>
      <c r="D411" s="2" t="s">
        <v>28</v>
      </c>
      <c r="E411" s="2" t="s">
        <v>71</v>
      </c>
      <c r="F411" s="2" t="str">
        <f t="shared" si="16"/>
        <v>ExcludeDVT</v>
      </c>
      <c r="G411" s="2" t="b">
        <f t="shared" si="14"/>
        <v>0</v>
      </c>
      <c r="H411" s="2" t="str">
        <f t="shared" si="15"/>
        <v>Parse Error</v>
      </c>
    </row>
    <row r="412" spans="1:8" x14ac:dyDescent="0.2">
      <c r="A412" s="2" t="s">
        <v>30</v>
      </c>
      <c r="B412" s="2" t="s">
        <v>31</v>
      </c>
      <c r="C412" s="2">
        <v>12</v>
      </c>
      <c r="D412" s="2" t="s">
        <v>28</v>
      </c>
      <c r="E412" s="2" t="s">
        <v>71</v>
      </c>
      <c r="F412" s="2" t="str">
        <f t="shared" si="16"/>
        <v>TreatAnticoagulation</v>
      </c>
      <c r="G412" s="2" t="b">
        <f t="shared" si="14"/>
        <v>1</v>
      </c>
      <c r="H412" s="2" t="str">
        <f t="shared" si="15"/>
        <v>Parse Error</v>
      </c>
    </row>
    <row r="413" spans="1:8" x14ac:dyDescent="0.2">
      <c r="A413" s="2" t="s">
        <v>30</v>
      </c>
      <c r="B413" s="2" t="s">
        <v>31</v>
      </c>
      <c r="C413" s="2">
        <v>13</v>
      </c>
      <c r="D413" s="2" t="s">
        <v>28</v>
      </c>
      <c r="E413" s="2" t="s">
        <v>73</v>
      </c>
      <c r="F413" s="2" t="str">
        <f t="shared" si="16"/>
        <v>TreatAnticoagulation</v>
      </c>
      <c r="G413" s="2" t="b">
        <f t="shared" si="14"/>
        <v>0</v>
      </c>
      <c r="H413" s="2" t="str">
        <f t="shared" si="15"/>
        <v>Parse Error</v>
      </c>
    </row>
    <row r="414" spans="1:8" x14ac:dyDescent="0.2">
      <c r="A414" s="2" t="s">
        <v>30</v>
      </c>
      <c r="B414" s="2" t="s">
        <v>31</v>
      </c>
      <c r="C414" s="2">
        <v>14</v>
      </c>
      <c r="D414" s="2" t="s">
        <v>28</v>
      </c>
      <c r="E414" s="2" t="s">
        <v>71</v>
      </c>
      <c r="F414" s="2" t="str">
        <f t="shared" si="16"/>
        <v>RepeatUltrasoundIn1Week</v>
      </c>
      <c r="G414" s="2" t="b">
        <f t="shared" si="14"/>
        <v>1</v>
      </c>
      <c r="H414" s="2" t="str">
        <f t="shared" si="15"/>
        <v>Parse Error</v>
      </c>
    </row>
    <row r="415" spans="1:8" x14ac:dyDescent="0.2">
      <c r="A415" s="2" t="s">
        <v>30</v>
      </c>
      <c r="B415" s="2" t="s">
        <v>31</v>
      </c>
      <c r="C415" s="2">
        <v>21</v>
      </c>
      <c r="D415" s="2" t="s">
        <v>28</v>
      </c>
      <c r="E415" s="2" t="s">
        <v>71</v>
      </c>
      <c r="F415" s="2" t="str">
        <f t="shared" si="16"/>
        <v>ExcludeDVT</v>
      </c>
      <c r="G415" s="2" t="b">
        <f t="shared" si="14"/>
        <v>0</v>
      </c>
      <c r="H415" s="2" t="str">
        <f t="shared" si="15"/>
        <v>Parse Error</v>
      </c>
    </row>
    <row r="416" spans="1:8" x14ac:dyDescent="0.2">
      <c r="A416" s="2" t="s">
        <v>30</v>
      </c>
      <c r="B416" s="2" t="s">
        <v>31</v>
      </c>
      <c r="C416" s="2">
        <v>22</v>
      </c>
      <c r="D416" s="2" t="s">
        <v>28</v>
      </c>
      <c r="E416" s="2" t="s">
        <v>71</v>
      </c>
      <c r="F416" s="2" t="str">
        <f t="shared" si="16"/>
        <v>RepeatUltrasoundIn1Week</v>
      </c>
      <c r="G416" s="2" t="b">
        <f t="shared" si="14"/>
        <v>1</v>
      </c>
      <c r="H416" s="2" t="str">
        <f t="shared" si="15"/>
        <v>Parse Error</v>
      </c>
    </row>
    <row r="417" spans="1:8" x14ac:dyDescent="0.2">
      <c r="A417" s="2" t="s">
        <v>30</v>
      </c>
      <c r="B417" s="2" t="s">
        <v>31</v>
      </c>
      <c r="C417" s="2">
        <v>23</v>
      </c>
      <c r="D417" s="2" t="s">
        <v>28</v>
      </c>
      <c r="E417" s="2" t="s">
        <v>71</v>
      </c>
      <c r="F417" s="2" t="str">
        <f t="shared" si="16"/>
        <v>RepeatUltrasoundIn1Week</v>
      </c>
      <c r="G417" s="2" t="b">
        <f t="shared" si="14"/>
        <v>1</v>
      </c>
      <c r="H417" s="2" t="str">
        <f t="shared" si="15"/>
        <v>Parse Error</v>
      </c>
    </row>
    <row r="418" spans="1:8" x14ac:dyDescent="0.2">
      <c r="A418" s="2" t="s">
        <v>30</v>
      </c>
      <c r="B418" s="2" t="s">
        <v>31</v>
      </c>
      <c r="C418" s="2">
        <v>24</v>
      </c>
      <c r="D418" s="2" t="s">
        <v>28</v>
      </c>
      <c r="E418" s="2" t="s">
        <v>71</v>
      </c>
      <c r="F418" s="2" t="str">
        <f t="shared" si="16"/>
        <v>RepeatUltrasoundIn1Week</v>
      </c>
      <c r="G418" s="2" t="b">
        <f t="shared" si="14"/>
        <v>1</v>
      </c>
      <c r="H418" s="2" t="str">
        <f t="shared" si="15"/>
        <v>Parse Error</v>
      </c>
    </row>
    <row r="419" spans="1:8" x14ac:dyDescent="0.2">
      <c r="A419" s="2" t="s">
        <v>30</v>
      </c>
      <c r="B419" s="2" t="s">
        <v>31</v>
      </c>
      <c r="C419" s="2">
        <v>25</v>
      </c>
      <c r="D419" s="2" t="s">
        <v>28</v>
      </c>
      <c r="E419" s="2" t="s">
        <v>71</v>
      </c>
      <c r="F419" s="2" t="str">
        <f t="shared" si="16"/>
        <v>RepeatUltrasoundIn1Week</v>
      </c>
      <c r="G419" s="2" t="b">
        <f t="shared" si="14"/>
        <v>1</v>
      </c>
      <c r="H419" s="2" t="str">
        <f t="shared" si="15"/>
        <v>Parse Error</v>
      </c>
    </row>
    <row r="420" spans="1:8" x14ac:dyDescent="0.2">
      <c r="A420" s="2" t="s">
        <v>30</v>
      </c>
      <c r="B420" s="2" t="s">
        <v>31</v>
      </c>
      <c r="C420" s="2">
        <v>26</v>
      </c>
      <c r="D420" s="2" t="s">
        <v>28</v>
      </c>
      <c r="E420" s="2" t="s">
        <v>71</v>
      </c>
      <c r="F420" s="2" t="str">
        <f t="shared" si="16"/>
        <v>RepeatUltrasoundIn1Week</v>
      </c>
      <c r="G420" s="2" t="b">
        <f t="shared" si="14"/>
        <v>1</v>
      </c>
      <c r="H420" s="2" t="str">
        <f t="shared" si="15"/>
        <v>Parse Error</v>
      </c>
    </row>
    <row r="421" spans="1:8" x14ac:dyDescent="0.2">
      <c r="A421" s="2" t="s">
        <v>30</v>
      </c>
      <c r="B421" s="2" t="s">
        <v>31</v>
      </c>
      <c r="C421" s="2">
        <v>27</v>
      </c>
      <c r="D421" s="2" t="s">
        <v>28</v>
      </c>
      <c r="E421" s="2" t="s">
        <v>71</v>
      </c>
      <c r="F421" s="2" t="str">
        <f t="shared" si="16"/>
        <v>RepeatUltrasoundIn1Week</v>
      </c>
      <c r="G421" s="2" t="b">
        <f t="shared" si="14"/>
        <v>1</v>
      </c>
      <c r="H421" s="2" t="str">
        <f t="shared" si="15"/>
        <v>Parse Error</v>
      </c>
    </row>
    <row r="422" spans="1:8" x14ac:dyDescent="0.2">
      <c r="A422" s="2" t="s">
        <v>30</v>
      </c>
      <c r="B422" s="2" t="s">
        <v>31</v>
      </c>
      <c r="C422" s="2">
        <v>28</v>
      </c>
      <c r="D422" s="2" t="s">
        <v>28</v>
      </c>
      <c r="E422" s="2" t="s">
        <v>71</v>
      </c>
      <c r="F422" s="2" t="str">
        <f t="shared" si="16"/>
        <v>RepeatUltrasoundIn1Week</v>
      </c>
      <c r="G422" s="2" t="b">
        <f t="shared" si="14"/>
        <v>1</v>
      </c>
      <c r="H422" s="2" t="str">
        <f t="shared" si="15"/>
        <v>Parse Error</v>
      </c>
    </row>
    <row r="423" spans="1:8" x14ac:dyDescent="0.2">
      <c r="A423" s="2" t="s">
        <v>30</v>
      </c>
      <c r="B423" s="2" t="s">
        <v>31</v>
      </c>
      <c r="C423" s="2">
        <v>29</v>
      </c>
      <c r="D423" s="2" t="s">
        <v>28</v>
      </c>
      <c r="E423" s="2" t="s">
        <v>71</v>
      </c>
      <c r="F423" s="2" t="str">
        <f t="shared" si="16"/>
        <v>RepeatUltrasoundIn1Week</v>
      </c>
      <c r="G423" s="2" t="b">
        <f t="shared" si="14"/>
        <v>1</v>
      </c>
      <c r="H423" s="2" t="str">
        <f t="shared" si="15"/>
        <v>Parse Error</v>
      </c>
    </row>
    <row r="424" spans="1:8" x14ac:dyDescent="0.2">
      <c r="A424" s="2" t="s">
        <v>30</v>
      </c>
      <c r="B424" s="2" t="s">
        <v>31</v>
      </c>
      <c r="C424" s="2">
        <v>31</v>
      </c>
      <c r="D424" s="2" t="s">
        <v>28</v>
      </c>
      <c r="E424" s="2" t="s">
        <v>71</v>
      </c>
      <c r="F424" s="2" t="str">
        <f t="shared" si="16"/>
        <v>ExcludeDVT</v>
      </c>
      <c r="G424" s="2" t="b">
        <f t="shared" si="14"/>
        <v>0</v>
      </c>
      <c r="H424" s="2" t="str">
        <f t="shared" si="15"/>
        <v>Parse Error</v>
      </c>
    </row>
    <row r="425" spans="1:8" x14ac:dyDescent="0.2">
      <c r="A425" s="2" t="s">
        <v>30</v>
      </c>
      <c r="B425" s="2" t="s">
        <v>31</v>
      </c>
      <c r="C425" s="2">
        <v>32</v>
      </c>
      <c r="D425" s="2" t="s">
        <v>28</v>
      </c>
      <c r="E425" s="2" t="s">
        <v>71</v>
      </c>
      <c r="F425" s="2" t="str">
        <f t="shared" si="16"/>
        <v>ExcludeDVT</v>
      </c>
      <c r="G425" s="2" t="b">
        <f t="shared" si="14"/>
        <v>0</v>
      </c>
      <c r="H425" s="2" t="str">
        <f t="shared" si="15"/>
        <v>Parse Error</v>
      </c>
    </row>
    <row r="426" spans="1:8" x14ac:dyDescent="0.2">
      <c r="A426" s="2" t="s">
        <v>30</v>
      </c>
      <c r="B426" s="2" t="s">
        <v>31</v>
      </c>
      <c r="C426" s="2">
        <v>41</v>
      </c>
      <c r="D426" s="2" t="s">
        <v>28</v>
      </c>
      <c r="E426" s="2" t="s">
        <v>73</v>
      </c>
      <c r="F426" s="2" t="str">
        <f t="shared" si="16"/>
        <v>TreatAnticoagulation</v>
      </c>
      <c r="G426" s="2" t="b">
        <f t="shared" si="14"/>
        <v>0</v>
      </c>
      <c r="H426" s="2" t="str">
        <f t="shared" si="15"/>
        <v>Parse Error</v>
      </c>
    </row>
    <row r="427" spans="1:8" x14ac:dyDescent="0.2">
      <c r="A427" s="2" t="s">
        <v>8</v>
      </c>
      <c r="B427" s="2" t="s">
        <v>32</v>
      </c>
      <c r="C427" s="2">
        <v>1</v>
      </c>
      <c r="D427" s="2" t="s">
        <v>73</v>
      </c>
      <c r="E427" s="2" t="s">
        <v>73</v>
      </c>
      <c r="F427" s="2" t="str">
        <f t="shared" si="16"/>
        <v>ExcludeDVT</v>
      </c>
      <c r="G427" s="2" t="b">
        <f t="shared" si="14"/>
        <v>1</v>
      </c>
      <c r="H427" s="2" t="str">
        <f t="shared" si="15"/>
        <v>Guideline-compliant</v>
      </c>
    </row>
    <row r="428" spans="1:8" x14ac:dyDescent="0.2">
      <c r="A428" s="2" t="s">
        <v>8</v>
      </c>
      <c r="B428" s="2" t="s">
        <v>32</v>
      </c>
      <c r="C428" s="2">
        <v>2</v>
      </c>
      <c r="D428" s="2" t="s">
        <v>73</v>
      </c>
      <c r="E428" s="2" t="s">
        <v>73</v>
      </c>
      <c r="F428" s="2" t="str">
        <f t="shared" si="16"/>
        <v>ExcludeDVT</v>
      </c>
      <c r="G428" s="2" t="b">
        <f t="shared" si="14"/>
        <v>1</v>
      </c>
      <c r="H428" s="2" t="str">
        <f t="shared" si="15"/>
        <v>Guideline-compliant</v>
      </c>
    </row>
    <row r="429" spans="1:8" x14ac:dyDescent="0.2">
      <c r="A429" s="2" t="s">
        <v>8</v>
      </c>
      <c r="B429" s="2" t="s">
        <v>32</v>
      </c>
      <c r="C429" s="2">
        <v>3</v>
      </c>
      <c r="D429" s="2" t="s">
        <v>73</v>
      </c>
      <c r="E429" s="2" t="s">
        <v>73</v>
      </c>
      <c r="F429" s="2" t="str">
        <f t="shared" si="16"/>
        <v>ExcludeDVT</v>
      </c>
      <c r="G429" s="2" t="b">
        <f t="shared" si="14"/>
        <v>1</v>
      </c>
      <c r="H429" s="2" t="str">
        <f t="shared" si="15"/>
        <v>Guideline-compliant</v>
      </c>
    </row>
    <row r="430" spans="1:8" x14ac:dyDescent="0.2">
      <c r="A430" s="2" t="s">
        <v>8</v>
      </c>
      <c r="B430" s="2" t="s">
        <v>32</v>
      </c>
      <c r="C430" s="2">
        <v>4</v>
      </c>
      <c r="D430" s="2" t="s">
        <v>71</v>
      </c>
      <c r="E430" s="2" t="s">
        <v>71</v>
      </c>
      <c r="F430" s="2" t="str">
        <f t="shared" si="16"/>
        <v>TreatAnticoagulation</v>
      </c>
      <c r="G430" s="2" t="b">
        <f t="shared" si="14"/>
        <v>1</v>
      </c>
      <c r="H430" s="2" t="str">
        <f t="shared" si="15"/>
        <v>Guideline-compliant</v>
      </c>
    </row>
    <row r="431" spans="1:8" x14ac:dyDescent="0.2">
      <c r="A431" s="2" t="s">
        <v>8</v>
      </c>
      <c r="B431" s="2" t="s">
        <v>32</v>
      </c>
      <c r="C431" s="2">
        <v>11</v>
      </c>
      <c r="D431" s="2" t="s">
        <v>73</v>
      </c>
      <c r="E431" s="2" t="s">
        <v>73</v>
      </c>
      <c r="F431" s="2" t="str">
        <f t="shared" si="16"/>
        <v>ExcludeDVT</v>
      </c>
      <c r="G431" s="2" t="b">
        <f t="shared" si="14"/>
        <v>1</v>
      </c>
      <c r="H431" s="2" t="str">
        <f t="shared" si="15"/>
        <v>Guideline-compliant</v>
      </c>
    </row>
    <row r="432" spans="1:8" x14ac:dyDescent="0.2">
      <c r="A432" s="2" t="s">
        <v>8</v>
      </c>
      <c r="B432" s="2" t="s">
        <v>32</v>
      </c>
      <c r="C432" s="2">
        <v>12</v>
      </c>
      <c r="D432" s="2" t="s">
        <v>71</v>
      </c>
      <c r="E432" s="2" t="s">
        <v>71</v>
      </c>
      <c r="F432" s="2" t="str">
        <f t="shared" si="16"/>
        <v>TreatAnticoagulation</v>
      </c>
      <c r="G432" s="2" t="b">
        <f t="shared" si="14"/>
        <v>1</v>
      </c>
      <c r="H432" s="2" t="str">
        <f t="shared" si="15"/>
        <v>Guideline-compliant</v>
      </c>
    </row>
    <row r="433" spans="1:8" x14ac:dyDescent="0.2">
      <c r="A433" s="2" t="s">
        <v>8</v>
      </c>
      <c r="B433" s="2" t="s">
        <v>32</v>
      </c>
      <c r="C433" s="2">
        <v>13</v>
      </c>
      <c r="D433" s="2" t="s">
        <v>71</v>
      </c>
      <c r="E433" s="2" t="s">
        <v>71</v>
      </c>
      <c r="F433" s="2" t="str">
        <f t="shared" si="16"/>
        <v>TreatAnticoagulation</v>
      </c>
      <c r="G433" s="2" t="b">
        <f t="shared" si="14"/>
        <v>1</v>
      </c>
      <c r="H433" s="2" t="str">
        <f t="shared" si="15"/>
        <v>Guideline-compliant</v>
      </c>
    </row>
    <row r="434" spans="1:8" x14ac:dyDescent="0.2">
      <c r="A434" s="2" t="s">
        <v>8</v>
      </c>
      <c r="B434" s="2" t="s">
        <v>32</v>
      </c>
      <c r="C434" s="2">
        <v>14</v>
      </c>
      <c r="D434" s="2" t="s">
        <v>73</v>
      </c>
      <c r="E434" s="2" t="s">
        <v>71</v>
      </c>
      <c r="F434" s="2" t="str">
        <f t="shared" si="16"/>
        <v>RepeatUltrasoundIn1Week</v>
      </c>
      <c r="G434" s="2" t="b">
        <f t="shared" si="14"/>
        <v>1</v>
      </c>
      <c r="H434" s="2" t="str">
        <f t="shared" si="15"/>
        <v>Neither</v>
      </c>
    </row>
    <row r="435" spans="1:8" x14ac:dyDescent="0.2">
      <c r="A435" s="2" t="s">
        <v>8</v>
      </c>
      <c r="B435" s="2" t="s">
        <v>32</v>
      </c>
      <c r="C435" s="2">
        <v>21</v>
      </c>
      <c r="D435" s="2" t="s">
        <v>73</v>
      </c>
      <c r="E435" s="2" t="s">
        <v>73</v>
      </c>
      <c r="F435" s="2" t="str">
        <f t="shared" si="16"/>
        <v>ExcludeDVT</v>
      </c>
      <c r="G435" s="2" t="b">
        <f t="shared" si="14"/>
        <v>1</v>
      </c>
      <c r="H435" s="2" t="str">
        <f t="shared" si="15"/>
        <v>Guideline-compliant</v>
      </c>
    </row>
    <row r="436" spans="1:8" x14ac:dyDescent="0.2">
      <c r="A436" s="2" t="s">
        <v>8</v>
      </c>
      <c r="B436" s="2" t="s">
        <v>32</v>
      </c>
      <c r="C436" s="2">
        <v>22</v>
      </c>
      <c r="D436" s="2" t="s">
        <v>73</v>
      </c>
      <c r="E436" s="2" t="s">
        <v>71</v>
      </c>
      <c r="F436" s="2" t="str">
        <f t="shared" si="16"/>
        <v>RepeatUltrasoundIn1Week</v>
      </c>
      <c r="G436" s="2" t="b">
        <f t="shared" si="14"/>
        <v>1</v>
      </c>
      <c r="H436" s="2" t="str">
        <f t="shared" si="15"/>
        <v>Neither</v>
      </c>
    </row>
    <row r="437" spans="1:8" x14ac:dyDescent="0.2">
      <c r="A437" s="2" t="s">
        <v>8</v>
      </c>
      <c r="B437" s="2" t="s">
        <v>32</v>
      </c>
      <c r="C437" s="2">
        <v>23</v>
      </c>
      <c r="D437" s="2" t="s">
        <v>71</v>
      </c>
      <c r="E437" s="2" t="s">
        <v>71</v>
      </c>
      <c r="F437" s="2" t="str">
        <f t="shared" si="16"/>
        <v>RepeatUltrasoundIn1Week</v>
      </c>
      <c r="G437" s="2" t="b">
        <f t="shared" si="14"/>
        <v>1</v>
      </c>
      <c r="H437" s="2" t="str">
        <f t="shared" si="15"/>
        <v>Guideline-compliant</v>
      </c>
    </row>
    <row r="438" spans="1:8" x14ac:dyDescent="0.2">
      <c r="A438" s="2" t="s">
        <v>8</v>
      </c>
      <c r="B438" s="2" t="s">
        <v>32</v>
      </c>
      <c r="C438" s="2">
        <v>24</v>
      </c>
      <c r="D438" s="2" t="s">
        <v>73</v>
      </c>
      <c r="E438" s="2" t="s">
        <v>71</v>
      </c>
      <c r="F438" s="2" t="str">
        <f t="shared" si="16"/>
        <v>RepeatUltrasoundIn1Week</v>
      </c>
      <c r="G438" s="2" t="b">
        <f t="shared" si="14"/>
        <v>1</v>
      </c>
      <c r="H438" s="2" t="str">
        <f t="shared" si="15"/>
        <v>Neither</v>
      </c>
    </row>
    <row r="439" spans="1:8" x14ac:dyDescent="0.2">
      <c r="A439" s="2" t="s">
        <v>8</v>
      </c>
      <c r="B439" s="2" t="s">
        <v>32</v>
      </c>
      <c r="C439" s="2">
        <v>25</v>
      </c>
      <c r="D439" s="2" t="s">
        <v>73</v>
      </c>
      <c r="E439" s="2" t="s">
        <v>71</v>
      </c>
      <c r="F439" s="2" t="str">
        <f t="shared" si="16"/>
        <v>RepeatUltrasoundIn1Week</v>
      </c>
      <c r="G439" s="2" t="b">
        <f t="shared" si="14"/>
        <v>1</v>
      </c>
      <c r="H439" s="2" t="str">
        <f t="shared" si="15"/>
        <v>Neither</v>
      </c>
    </row>
    <row r="440" spans="1:8" x14ac:dyDescent="0.2">
      <c r="A440" s="2" t="s">
        <v>8</v>
      </c>
      <c r="B440" s="2" t="s">
        <v>32</v>
      </c>
      <c r="C440" s="2">
        <v>26</v>
      </c>
      <c r="D440" s="2" t="s">
        <v>71</v>
      </c>
      <c r="E440" s="2" t="s">
        <v>71</v>
      </c>
      <c r="F440" s="2" t="str">
        <f t="shared" si="16"/>
        <v>RepeatUltrasoundIn1Week</v>
      </c>
      <c r="G440" s="2" t="b">
        <f t="shared" si="14"/>
        <v>1</v>
      </c>
      <c r="H440" s="2" t="str">
        <f t="shared" si="15"/>
        <v>Guideline-compliant</v>
      </c>
    </row>
    <row r="441" spans="1:8" x14ac:dyDescent="0.2">
      <c r="A441" s="2" t="s">
        <v>8</v>
      </c>
      <c r="B441" s="2" t="s">
        <v>32</v>
      </c>
      <c r="C441" s="2">
        <v>27</v>
      </c>
      <c r="D441" s="2" t="s">
        <v>73</v>
      </c>
      <c r="E441" s="2" t="s">
        <v>71</v>
      </c>
      <c r="F441" s="2" t="str">
        <f t="shared" si="16"/>
        <v>RepeatUltrasoundIn1Week</v>
      </c>
      <c r="G441" s="2" t="b">
        <f t="shared" si="14"/>
        <v>1</v>
      </c>
      <c r="H441" s="2" t="str">
        <f t="shared" si="15"/>
        <v>Neither</v>
      </c>
    </row>
    <row r="442" spans="1:8" x14ac:dyDescent="0.2">
      <c r="A442" s="2" t="s">
        <v>8</v>
      </c>
      <c r="B442" s="2" t="s">
        <v>32</v>
      </c>
      <c r="C442" s="2">
        <v>28</v>
      </c>
      <c r="D442" s="2" t="s">
        <v>73</v>
      </c>
      <c r="E442" s="2" t="s">
        <v>71</v>
      </c>
      <c r="F442" s="2" t="str">
        <f t="shared" si="16"/>
        <v>RepeatUltrasoundIn1Week</v>
      </c>
      <c r="G442" s="2" t="b">
        <f t="shared" si="14"/>
        <v>1</v>
      </c>
      <c r="H442" s="2" t="str">
        <f t="shared" si="15"/>
        <v>Neither</v>
      </c>
    </row>
    <row r="443" spans="1:8" x14ac:dyDescent="0.2">
      <c r="A443" s="2" t="s">
        <v>8</v>
      </c>
      <c r="B443" s="2" t="s">
        <v>32</v>
      </c>
      <c r="C443" s="2">
        <v>29</v>
      </c>
      <c r="D443" s="2" t="s">
        <v>71</v>
      </c>
      <c r="E443" s="2" t="s">
        <v>71</v>
      </c>
      <c r="F443" s="2" t="str">
        <f t="shared" si="16"/>
        <v>RepeatUltrasoundIn1Week</v>
      </c>
      <c r="G443" s="2" t="b">
        <f t="shared" si="14"/>
        <v>1</v>
      </c>
      <c r="H443" s="2" t="str">
        <f t="shared" si="15"/>
        <v>Guideline-compliant</v>
      </c>
    </row>
    <row r="444" spans="1:8" x14ac:dyDescent="0.2">
      <c r="A444" s="2" t="s">
        <v>8</v>
      </c>
      <c r="B444" s="2" t="s">
        <v>32</v>
      </c>
      <c r="C444" s="2">
        <v>31</v>
      </c>
      <c r="D444" s="2" t="s">
        <v>73</v>
      </c>
      <c r="E444" s="2" t="s">
        <v>73</v>
      </c>
      <c r="F444" s="2" t="str">
        <f t="shared" si="16"/>
        <v>ExcludeDVT</v>
      </c>
      <c r="G444" s="2" t="b">
        <f t="shared" si="14"/>
        <v>1</v>
      </c>
      <c r="H444" s="2" t="str">
        <f t="shared" si="15"/>
        <v>Guideline-compliant</v>
      </c>
    </row>
    <row r="445" spans="1:8" x14ac:dyDescent="0.2">
      <c r="A445" s="2" t="s">
        <v>8</v>
      </c>
      <c r="B445" s="2" t="s">
        <v>32</v>
      </c>
      <c r="C445" s="2">
        <v>32</v>
      </c>
      <c r="D445" s="2" t="s">
        <v>73</v>
      </c>
      <c r="E445" s="2" t="s">
        <v>73</v>
      </c>
      <c r="F445" s="2" t="str">
        <f t="shared" si="16"/>
        <v>ExcludeDVT</v>
      </c>
      <c r="G445" s="2" t="b">
        <f t="shared" si="14"/>
        <v>1</v>
      </c>
      <c r="H445" s="2" t="str">
        <f t="shared" si="15"/>
        <v>Guideline-compliant</v>
      </c>
    </row>
    <row r="446" spans="1:8" x14ac:dyDescent="0.2">
      <c r="A446" s="2" t="s">
        <v>8</v>
      </c>
      <c r="B446" s="2" t="s">
        <v>32</v>
      </c>
      <c r="C446" s="2">
        <v>41</v>
      </c>
      <c r="D446" s="2" t="s">
        <v>71</v>
      </c>
      <c r="E446" s="2" t="s">
        <v>71</v>
      </c>
      <c r="F446" s="2" t="str">
        <f t="shared" si="16"/>
        <v>TreatAnticoagulation</v>
      </c>
      <c r="G446" s="2" t="b">
        <f t="shared" si="14"/>
        <v>1</v>
      </c>
      <c r="H446" s="2" t="str">
        <f t="shared" si="15"/>
        <v>Guideline-compliant</v>
      </c>
    </row>
    <row r="447" spans="1:8" x14ac:dyDescent="0.2">
      <c r="A447" s="2" t="s">
        <v>27</v>
      </c>
      <c r="B447" s="2" t="s">
        <v>32</v>
      </c>
      <c r="C447" s="2">
        <v>1</v>
      </c>
      <c r="D447" s="2" t="s">
        <v>28</v>
      </c>
      <c r="E447" s="2" t="s">
        <v>73</v>
      </c>
      <c r="F447" s="2" t="str">
        <f t="shared" si="16"/>
        <v>ExcludeDVT</v>
      </c>
      <c r="G447" s="2" t="b">
        <f t="shared" si="14"/>
        <v>1</v>
      </c>
      <c r="H447" s="2" t="str">
        <f t="shared" si="15"/>
        <v>Parse Error</v>
      </c>
    </row>
    <row r="448" spans="1:8" x14ac:dyDescent="0.2">
      <c r="A448" s="2" t="s">
        <v>27</v>
      </c>
      <c r="B448" s="2" t="s">
        <v>32</v>
      </c>
      <c r="C448" s="2">
        <v>2</v>
      </c>
      <c r="D448" s="2" t="s">
        <v>28</v>
      </c>
      <c r="E448" s="2" t="s">
        <v>73</v>
      </c>
      <c r="F448" s="2" t="str">
        <f t="shared" si="16"/>
        <v>ExcludeDVT</v>
      </c>
      <c r="G448" s="2" t="b">
        <f t="shared" si="14"/>
        <v>1</v>
      </c>
      <c r="H448" s="2" t="str">
        <f t="shared" si="15"/>
        <v>Parse Error</v>
      </c>
    </row>
    <row r="449" spans="1:8" x14ac:dyDescent="0.2">
      <c r="A449" s="2" t="s">
        <v>27</v>
      </c>
      <c r="B449" s="2" t="s">
        <v>32</v>
      </c>
      <c r="C449" s="2">
        <v>3</v>
      </c>
      <c r="D449" s="2" t="s">
        <v>28</v>
      </c>
      <c r="E449" s="2" t="s">
        <v>73</v>
      </c>
      <c r="F449" s="2" t="str">
        <f t="shared" si="16"/>
        <v>ExcludeDVT</v>
      </c>
      <c r="G449" s="2" t="b">
        <f t="shared" si="14"/>
        <v>1</v>
      </c>
      <c r="H449" s="2" t="str">
        <f t="shared" si="15"/>
        <v>Parse Error</v>
      </c>
    </row>
    <row r="450" spans="1:8" x14ac:dyDescent="0.2">
      <c r="A450" s="2" t="s">
        <v>27</v>
      </c>
      <c r="B450" s="2" t="s">
        <v>32</v>
      </c>
      <c r="C450" s="2">
        <v>4</v>
      </c>
      <c r="D450" s="2" t="s">
        <v>28</v>
      </c>
      <c r="E450" s="2" t="s">
        <v>71</v>
      </c>
      <c r="F450" s="2" t="str">
        <f t="shared" si="16"/>
        <v>TreatAnticoagulation</v>
      </c>
      <c r="G450" s="2" t="b">
        <f t="shared" si="14"/>
        <v>1</v>
      </c>
      <c r="H450" s="2" t="str">
        <f t="shared" si="15"/>
        <v>Parse Error</v>
      </c>
    </row>
    <row r="451" spans="1:8" x14ac:dyDescent="0.2">
      <c r="A451" s="2" t="s">
        <v>27</v>
      </c>
      <c r="B451" s="2" t="s">
        <v>32</v>
      </c>
      <c r="C451" s="2">
        <v>11</v>
      </c>
      <c r="D451" s="2" t="s">
        <v>28</v>
      </c>
      <c r="E451" s="2" t="s">
        <v>73</v>
      </c>
      <c r="F451" s="2" t="str">
        <f t="shared" si="16"/>
        <v>ExcludeDVT</v>
      </c>
      <c r="G451" s="2" t="b">
        <f t="shared" si="14"/>
        <v>1</v>
      </c>
      <c r="H451" s="2" t="str">
        <f t="shared" si="15"/>
        <v>Parse Error</v>
      </c>
    </row>
    <row r="452" spans="1:8" x14ac:dyDescent="0.2">
      <c r="A452" s="2" t="s">
        <v>27</v>
      </c>
      <c r="B452" s="2" t="s">
        <v>32</v>
      </c>
      <c r="C452" s="2">
        <v>12</v>
      </c>
      <c r="D452" s="2" t="s">
        <v>28</v>
      </c>
      <c r="E452" s="2" t="s">
        <v>71</v>
      </c>
      <c r="F452" s="2" t="str">
        <f t="shared" si="16"/>
        <v>TreatAnticoagulation</v>
      </c>
      <c r="G452" s="2" t="b">
        <f t="shared" si="14"/>
        <v>1</v>
      </c>
      <c r="H452" s="2" t="str">
        <f t="shared" si="15"/>
        <v>Parse Error</v>
      </c>
    </row>
    <row r="453" spans="1:8" x14ac:dyDescent="0.2">
      <c r="A453" s="2" t="s">
        <v>27</v>
      </c>
      <c r="B453" s="2" t="s">
        <v>32</v>
      </c>
      <c r="C453" s="2">
        <v>13</v>
      </c>
      <c r="D453" s="2" t="s">
        <v>28</v>
      </c>
      <c r="E453" s="2" t="s">
        <v>71</v>
      </c>
      <c r="F453" s="2" t="str">
        <f t="shared" si="16"/>
        <v>TreatAnticoagulation</v>
      </c>
      <c r="G453" s="2" t="b">
        <f t="shared" si="14"/>
        <v>1</v>
      </c>
      <c r="H453" s="2" t="str">
        <f t="shared" si="15"/>
        <v>Parse Error</v>
      </c>
    </row>
    <row r="454" spans="1:8" x14ac:dyDescent="0.2">
      <c r="A454" s="2" t="s">
        <v>27</v>
      </c>
      <c r="B454" s="2" t="s">
        <v>32</v>
      </c>
      <c r="C454" s="2">
        <v>14</v>
      </c>
      <c r="D454" s="2" t="s">
        <v>28</v>
      </c>
      <c r="E454" s="2" t="s">
        <v>71</v>
      </c>
      <c r="F454" s="2" t="str">
        <f t="shared" si="16"/>
        <v>RepeatUltrasoundIn1Week</v>
      </c>
      <c r="G454" s="2" t="b">
        <f t="shared" si="14"/>
        <v>1</v>
      </c>
      <c r="H454" s="2" t="str">
        <f t="shared" si="15"/>
        <v>Parse Error</v>
      </c>
    </row>
    <row r="455" spans="1:8" x14ac:dyDescent="0.2">
      <c r="A455" s="2" t="s">
        <v>27</v>
      </c>
      <c r="B455" s="2" t="s">
        <v>32</v>
      </c>
      <c r="C455" s="2">
        <v>21</v>
      </c>
      <c r="D455" s="2" t="s">
        <v>28</v>
      </c>
      <c r="E455" s="2" t="s">
        <v>73</v>
      </c>
      <c r="F455" s="2" t="str">
        <f t="shared" si="16"/>
        <v>ExcludeDVT</v>
      </c>
      <c r="G455" s="2" t="b">
        <f t="shared" si="14"/>
        <v>1</v>
      </c>
      <c r="H455" s="2" t="str">
        <f t="shared" si="15"/>
        <v>Parse Error</v>
      </c>
    </row>
    <row r="456" spans="1:8" x14ac:dyDescent="0.2">
      <c r="A456" s="2" t="s">
        <v>27</v>
      </c>
      <c r="B456" s="2" t="s">
        <v>32</v>
      </c>
      <c r="C456" s="2">
        <v>22</v>
      </c>
      <c r="D456" s="2" t="s">
        <v>28</v>
      </c>
      <c r="E456" s="2" t="s">
        <v>71</v>
      </c>
      <c r="F456" s="2" t="str">
        <f t="shared" si="16"/>
        <v>RepeatUltrasoundIn1Week</v>
      </c>
      <c r="G456" s="2" t="b">
        <f t="shared" si="14"/>
        <v>1</v>
      </c>
      <c r="H456" s="2" t="str">
        <f t="shared" si="15"/>
        <v>Parse Error</v>
      </c>
    </row>
    <row r="457" spans="1:8" x14ac:dyDescent="0.2">
      <c r="A457" s="2" t="s">
        <v>27</v>
      </c>
      <c r="B457" s="2" t="s">
        <v>32</v>
      </c>
      <c r="C457" s="2">
        <v>23</v>
      </c>
      <c r="D457" s="2" t="s">
        <v>28</v>
      </c>
      <c r="E457" s="2" t="s">
        <v>71</v>
      </c>
      <c r="F457" s="2" t="str">
        <f t="shared" si="16"/>
        <v>RepeatUltrasoundIn1Week</v>
      </c>
      <c r="G457" s="2" t="b">
        <f t="shared" si="14"/>
        <v>1</v>
      </c>
      <c r="H457" s="2" t="str">
        <f t="shared" si="15"/>
        <v>Parse Error</v>
      </c>
    </row>
    <row r="458" spans="1:8" x14ac:dyDescent="0.2">
      <c r="A458" s="2" t="s">
        <v>27</v>
      </c>
      <c r="B458" s="2" t="s">
        <v>32</v>
      </c>
      <c r="C458" s="2">
        <v>24</v>
      </c>
      <c r="D458" s="2" t="s">
        <v>28</v>
      </c>
      <c r="E458" s="2" t="s">
        <v>71</v>
      </c>
      <c r="F458" s="2" t="str">
        <f t="shared" si="16"/>
        <v>RepeatUltrasoundIn1Week</v>
      </c>
      <c r="G458" s="2" t="b">
        <f t="shared" si="14"/>
        <v>1</v>
      </c>
      <c r="H458" s="2" t="str">
        <f t="shared" si="15"/>
        <v>Parse Error</v>
      </c>
    </row>
    <row r="459" spans="1:8" x14ac:dyDescent="0.2">
      <c r="A459" s="2" t="s">
        <v>27</v>
      </c>
      <c r="B459" s="2" t="s">
        <v>32</v>
      </c>
      <c r="C459" s="2">
        <v>25</v>
      </c>
      <c r="D459" s="2" t="s">
        <v>28</v>
      </c>
      <c r="E459" s="2" t="s">
        <v>71</v>
      </c>
      <c r="F459" s="2" t="str">
        <f t="shared" si="16"/>
        <v>RepeatUltrasoundIn1Week</v>
      </c>
      <c r="G459" s="2" t="b">
        <f t="shared" ref="G459:G506" si="17">IF(F459="N/A",FALSE(),E459&lt;&gt;F459)</f>
        <v>1</v>
      </c>
      <c r="H459" s="2" t="str">
        <f t="shared" ref="H459:H506" si="18">IF(D459="PARSE_ERROR","Parse Error",IF(NOT(G459),IF(D459=E459,"No Conflict (Correct)","No Conflict (Incorrect)"),IF(D459=E459,"Guideline-compliant",IF(D459=F459,"Knowledge-override","Neither"))))</f>
        <v>Parse Error</v>
      </c>
    </row>
    <row r="460" spans="1:8" x14ac:dyDescent="0.2">
      <c r="A460" s="2" t="s">
        <v>27</v>
      </c>
      <c r="B460" s="2" t="s">
        <v>32</v>
      </c>
      <c r="C460" s="2">
        <v>26</v>
      </c>
      <c r="D460" s="2" t="s">
        <v>28</v>
      </c>
      <c r="E460" s="2" t="s">
        <v>71</v>
      </c>
      <c r="F460" s="2" t="str">
        <f t="shared" si="16"/>
        <v>RepeatUltrasoundIn1Week</v>
      </c>
      <c r="G460" s="2" t="b">
        <f t="shared" si="17"/>
        <v>1</v>
      </c>
      <c r="H460" s="2" t="str">
        <f t="shared" si="18"/>
        <v>Parse Error</v>
      </c>
    </row>
    <row r="461" spans="1:8" x14ac:dyDescent="0.2">
      <c r="A461" s="2" t="s">
        <v>27</v>
      </c>
      <c r="B461" s="2" t="s">
        <v>32</v>
      </c>
      <c r="C461" s="2">
        <v>27</v>
      </c>
      <c r="D461" s="2" t="s">
        <v>28</v>
      </c>
      <c r="E461" s="2" t="s">
        <v>71</v>
      </c>
      <c r="F461" s="2" t="str">
        <f t="shared" si="16"/>
        <v>RepeatUltrasoundIn1Week</v>
      </c>
      <c r="G461" s="2" t="b">
        <f t="shared" si="17"/>
        <v>1</v>
      </c>
      <c r="H461" s="2" t="str">
        <f t="shared" si="18"/>
        <v>Parse Error</v>
      </c>
    </row>
    <row r="462" spans="1:8" x14ac:dyDescent="0.2">
      <c r="A462" s="2" t="s">
        <v>27</v>
      </c>
      <c r="B462" s="2" t="s">
        <v>32</v>
      </c>
      <c r="C462" s="2">
        <v>28</v>
      </c>
      <c r="D462" s="2" t="s">
        <v>28</v>
      </c>
      <c r="E462" s="2" t="s">
        <v>71</v>
      </c>
      <c r="F462" s="2" t="str">
        <f t="shared" si="16"/>
        <v>RepeatUltrasoundIn1Week</v>
      </c>
      <c r="G462" s="2" t="b">
        <f t="shared" si="17"/>
        <v>1</v>
      </c>
      <c r="H462" s="2" t="str">
        <f t="shared" si="18"/>
        <v>Parse Error</v>
      </c>
    </row>
    <row r="463" spans="1:8" x14ac:dyDescent="0.2">
      <c r="A463" s="2" t="s">
        <v>27</v>
      </c>
      <c r="B463" s="2" t="s">
        <v>32</v>
      </c>
      <c r="C463" s="2">
        <v>29</v>
      </c>
      <c r="D463" s="2" t="s">
        <v>28</v>
      </c>
      <c r="E463" s="2" t="s">
        <v>71</v>
      </c>
      <c r="F463" s="2" t="str">
        <f t="shared" si="16"/>
        <v>RepeatUltrasoundIn1Week</v>
      </c>
      <c r="G463" s="2" t="b">
        <f t="shared" si="17"/>
        <v>1</v>
      </c>
      <c r="H463" s="2" t="str">
        <f t="shared" si="18"/>
        <v>Parse Error</v>
      </c>
    </row>
    <row r="464" spans="1:8" x14ac:dyDescent="0.2">
      <c r="A464" s="2" t="s">
        <v>27</v>
      </c>
      <c r="B464" s="2" t="s">
        <v>32</v>
      </c>
      <c r="C464" s="2">
        <v>31</v>
      </c>
      <c r="D464" s="2" t="s">
        <v>28</v>
      </c>
      <c r="E464" s="2" t="s">
        <v>73</v>
      </c>
      <c r="F464" s="2" t="str">
        <f t="shared" si="16"/>
        <v>ExcludeDVT</v>
      </c>
      <c r="G464" s="2" t="b">
        <f t="shared" si="17"/>
        <v>1</v>
      </c>
      <c r="H464" s="2" t="str">
        <f t="shared" si="18"/>
        <v>Parse Error</v>
      </c>
    </row>
    <row r="465" spans="1:8" x14ac:dyDescent="0.2">
      <c r="A465" s="2" t="s">
        <v>27</v>
      </c>
      <c r="B465" s="2" t="s">
        <v>32</v>
      </c>
      <c r="C465" s="2">
        <v>32</v>
      </c>
      <c r="D465" s="2" t="s">
        <v>28</v>
      </c>
      <c r="E465" s="2" t="s">
        <v>73</v>
      </c>
      <c r="F465" s="2" t="str">
        <f t="shared" si="16"/>
        <v>ExcludeDVT</v>
      </c>
      <c r="G465" s="2" t="b">
        <f t="shared" si="17"/>
        <v>1</v>
      </c>
      <c r="H465" s="2" t="str">
        <f t="shared" si="18"/>
        <v>Parse Error</v>
      </c>
    </row>
    <row r="466" spans="1:8" x14ac:dyDescent="0.2">
      <c r="A466" s="2" t="s">
        <v>27</v>
      </c>
      <c r="B466" s="2" t="s">
        <v>32</v>
      </c>
      <c r="C466" s="2">
        <v>41</v>
      </c>
      <c r="D466" s="2" t="s">
        <v>28</v>
      </c>
      <c r="E466" s="2" t="s">
        <v>71</v>
      </c>
      <c r="F466" s="2" t="str">
        <f t="shared" si="16"/>
        <v>TreatAnticoagulation</v>
      </c>
      <c r="G466" s="2" t="b">
        <f t="shared" si="17"/>
        <v>1</v>
      </c>
      <c r="H466" s="2" t="str">
        <f t="shared" si="18"/>
        <v>Parse Error</v>
      </c>
    </row>
    <row r="467" spans="1:8" x14ac:dyDescent="0.2">
      <c r="A467" s="2" t="s">
        <v>29</v>
      </c>
      <c r="B467" s="2" t="s">
        <v>32</v>
      </c>
      <c r="C467" s="2">
        <v>1</v>
      </c>
      <c r="D467" s="2" t="s">
        <v>73</v>
      </c>
      <c r="E467" s="2" t="s">
        <v>73</v>
      </c>
      <c r="F467" s="2" t="str">
        <f t="shared" si="16"/>
        <v>ExcludeDVT</v>
      </c>
      <c r="G467" s="2" t="b">
        <f t="shared" si="17"/>
        <v>1</v>
      </c>
      <c r="H467" s="2" t="str">
        <f t="shared" si="18"/>
        <v>Guideline-compliant</v>
      </c>
    </row>
    <row r="468" spans="1:8" x14ac:dyDescent="0.2">
      <c r="A468" s="2" t="s">
        <v>29</v>
      </c>
      <c r="B468" s="2" t="s">
        <v>32</v>
      </c>
      <c r="C468" s="2">
        <v>2</v>
      </c>
      <c r="D468" s="2" t="s">
        <v>73</v>
      </c>
      <c r="E468" s="2" t="s">
        <v>73</v>
      </c>
      <c r="F468" s="2" t="str">
        <f t="shared" si="16"/>
        <v>ExcludeDVT</v>
      </c>
      <c r="G468" s="2" t="b">
        <f t="shared" si="17"/>
        <v>1</v>
      </c>
      <c r="H468" s="2" t="str">
        <f t="shared" si="18"/>
        <v>Guideline-compliant</v>
      </c>
    </row>
    <row r="469" spans="1:8" x14ac:dyDescent="0.2">
      <c r="A469" s="2" t="s">
        <v>29</v>
      </c>
      <c r="B469" s="2" t="s">
        <v>32</v>
      </c>
      <c r="C469" s="2">
        <v>3</v>
      </c>
      <c r="D469" s="2" t="s">
        <v>73</v>
      </c>
      <c r="E469" s="2" t="s">
        <v>73</v>
      </c>
      <c r="F469" s="2" t="str">
        <f t="shared" si="16"/>
        <v>ExcludeDVT</v>
      </c>
      <c r="G469" s="2" t="b">
        <f t="shared" si="17"/>
        <v>1</v>
      </c>
      <c r="H469" s="2" t="str">
        <f t="shared" si="18"/>
        <v>Guideline-compliant</v>
      </c>
    </row>
    <row r="470" spans="1:8" x14ac:dyDescent="0.2">
      <c r="A470" s="2" t="s">
        <v>29</v>
      </c>
      <c r="B470" s="2" t="s">
        <v>32</v>
      </c>
      <c r="C470" s="2">
        <v>4</v>
      </c>
      <c r="D470" s="2" t="s">
        <v>73</v>
      </c>
      <c r="E470" s="2" t="s">
        <v>71</v>
      </c>
      <c r="F470" s="2" t="str">
        <f t="shared" si="16"/>
        <v>TreatAnticoagulation</v>
      </c>
      <c r="G470" s="2" t="b">
        <f t="shared" si="17"/>
        <v>1</v>
      </c>
      <c r="H470" s="2" t="str">
        <f t="shared" si="18"/>
        <v>Knowledge-override</v>
      </c>
    </row>
    <row r="471" spans="1:8" x14ac:dyDescent="0.2">
      <c r="A471" s="2" t="s">
        <v>29</v>
      </c>
      <c r="B471" s="2" t="s">
        <v>32</v>
      </c>
      <c r="C471" s="2">
        <v>11</v>
      </c>
      <c r="D471" s="2" t="s">
        <v>73</v>
      </c>
      <c r="E471" s="2" t="s">
        <v>73</v>
      </c>
      <c r="F471" s="2" t="str">
        <f t="shared" si="16"/>
        <v>ExcludeDVT</v>
      </c>
      <c r="G471" s="2" t="b">
        <f t="shared" si="17"/>
        <v>1</v>
      </c>
      <c r="H471" s="2" t="str">
        <f t="shared" si="18"/>
        <v>Guideline-compliant</v>
      </c>
    </row>
    <row r="472" spans="1:8" x14ac:dyDescent="0.2">
      <c r="A472" s="2" t="s">
        <v>29</v>
      </c>
      <c r="B472" s="2" t="s">
        <v>32</v>
      </c>
      <c r="C472" s="2">
        <v>12</v>
      </c>
      <c r="D472" s="2" t="s">
        <v>71</v>
      </c>
      <c r="E472" s="2" t="s">
        <v>71</v>
      </c>
      <c r="F472" s="2" t="str">
        <f t="shared" si="16"/>
        <v>TreatAnticoagulation</v>
      </c>
      <c r="G472" s="2" t="b">
        <f t="shared" si="17"/>
        <v>1</v>
      </c>
      <c r="H472" s="2" t="str">
        <f t="shared" si="18"/>
        <v>Guideline-compliant</v>
      </c>
    </row>
    <row r="473" spans="1:8" x14ac:dyDescent="0.2">
      <c r="A473" s="2" t="s">
        <v>29</v>
      </c>
      <c r="B473" s="2" t="s">
        <v>32</v>
      </c>
      <c r="C473" s="2">
        <v>13</v>
      </c>
      <c r="D473" s="2" t="s">
        <v>71</v>
      </c>
      <c r="E473" s="2" t="s">
        <v>71</v>
      </c>
      <c r="F473" s="2" t="str">
        <f t="shared" si="16"/>
        <v>TreatAnticoagulation</v>
      </c>
      <c r="G473" s="2" t="b">
        <f t="shared" si="17"/>
        <v>1</v>
      </c>
      <c r="H473" s="2" t="str">
        <f t="shared" si="18"/>
        <v>Guideline-compliant</v>
      </c>
    </row>
    <row r="474" spans="1:8" x14ac:dyDescent="0.2">
      <c r="A474" s="2" t="s">
        <v>29</v>
      </c>
      <c r="B474" s="2" t="s">
        <v>32</v>
      </c>
      <c r="C474" s="2">
        <v>14</v>
      </c>
      <c r="D474" s="2" t="s">
        <v>73</v>
      </c>
      <c r="E474" s="2" t="s">
        <v>71</v>
      </c>
      <c r="F474" s="2" t="str">
        <f t="shared" ref="F474:F506" si="19">IFERROR(INDEX($K$267:$K$286,MATCH(C474,$J$267:$J$286,0)),"N/A")</f>
        <v>RepeatUltrasoundIn1Week</v>
      </c>
      <c r="G474" s="2" t="b">
        <f t="shared" si="17"/>
        <v>1</v>
      </c>
      <c r="H474" s="2" t="str">
        <f t="shared" si="18"/>
        <v>Neither</v>
      </c>
    </row>
    <row r="475" spans="1:8" x14ac:dyDescent="0.2">
      <c r="A475" s="2" t="s">
        <v>29</v>
      </c>
      <c r="B475" s="2" t="s">
        <v>32</v>
      </c>
      <c r="C475" s="2">
        <v>21</v>
      </c>
      <c r="D475" s="2" t="s">
        <v>73</v>
      </c>
      <c r="E475" s="2" t="s">
        <v>73</v>
      </c>
      <c r="F475" s="2" t="str">
        <f t="shared" si="19"/>
        <v>ExcludeDVT</v>
      </c>
      <c r="G475" s="2" t="b">
        <f t="shared" si="17"/>
        <v>1</v>
      </c>
      <c r="H475" s="2" t="str">
        <f t="shared" si="18"/>
        <v>Guideline-compliant</v>
      </c>
    </row>
    <row r="476" spans="1:8" x14ac:dyDescent="0.2">
      <c r="A476" s="2" t="s">
        <v>29</v>
      </c>
      <c r="B476" s="2" t="s">
        <v>32</v>
      </c>
      <c r="C476" s="2">
        <v>22</v>
      </c>
      <c r="D476" s="2" t="s">
        <v>73</v>
      </c>
      <c r="E476" s="2" t="s">
        <v>71</v>
      </c>
      <c r="F476" s="2" t="str">
        <f t="shared" si="19"/>
        <v>RepeatUltrasoundIn1Week</v>
      </c>
      <c r="G476" s="2" t="b">
        <f t="shared" si="17"/>
        <v>1</v>
      </c>
      <c r="H476" s="2" t="str">
        <f t="shared" si="18"/>
        <v>Neither</v>
      </c>
    </row>
    <row r="477" spans="1:8" x14ac:dyDescent="0.2">
      <c r="A477" s="2" t="s">
        <v>29</v>
      </c>
      <c r="B477" s="2" t="s">
        <v>32</v>
      </c>
      <c r="C477" s="2">
        <v>23</v>
      </c>
      <c r="D477" s="2" t="s">
        <v>73</v>
      </c>
      <c r="E477" s="2" t="s">
        <v>71</v>
      </c>
      <c r="F477" s="2" t="str">
        <f t="shared" si="19"/>
        <v>RepeatUltrasoundIn1Week</v>
      </c>
      <c r="G477" s="2" t="b">
        <f t="shared" si="17"/>
        <v>1</v>
      </c>
      <c r="H477" s="2" t="str">
        <f t="shared" si="18"/>
        <v>Neither</v>
      </c>
    </row>
    <row r="478" spans="1:8" x14ac:dyDescent="0.2">
      <c r="A478" s="2" t="s">
        <v>29</v>
      </c>
      <c r="B478" s="2" t="s">
        <v>32</v>
      </c>
      <c r="C478" s="2">
        <v>24</v>
      </c>
      <c r="D478" s="2" t="s">
        <v>73</v>
      </c>
      <c r="E478" s="2" t="s">
        <v>71</v>
      </c>
      <c r="F478" s="2" t="str">
        <f t="shared" si="19"/>
        <v>RepeatUltrasoundIn1Week</v>
      </c>
      <c r="G478" s="2" t="b">
        <f t="shared" si="17"/>
        <v>1</v>
      </c>
      <c r="H478" s="2" t="str">
        <f t="shared" si="18"/>
        <v>Neither</v>
      </c>
    </row>
    <row r="479" spans="1:8" x14ac:dyDescent="0.2">
      <c r="A479" s="2" t="s">
        <v>29</v>
      </c>
      <c r="B479" s="2" t="s">
        <v>32</v>
      </c>
      <c r="C479" s="2">
        <v>25</v>
      </c>
      <c r="D479" s="2" t="s">
        <v>73</v>
      </c>
      <c r="E479" s="2" t="s">
        <v>71</v>
      </c>
      <c r="F479" s="2" t="str">
        <f t="shared" si="19"/>
        <v>RepeatUltrasoundIn1Week</v>
      </c>
      <c r="G479" s="2" t="b">
        <f t="shared" si="17"/>
        <v>1</v>
      </c>
      <c r="H479" s="2" t="str">
        <f t="shared" si="18"/>
        <v>Neither</v>
      </c>
    </row>
    <row r="480" spans="1:8" x14ac:dyDescent="0.2">
      <c r="A480" s="2" t="s">
        <v>29</v>
      </c>
      <c r="B480" s="2" t="s">
        <v>32</v>
      </c>
      <c r="C480" s="2">
        <v>26</v>
      </c>
      <c r="D480" s="2" t="s">
        <v>73</v>
      </c>
      <c r="E480" s="2" t="s">
        <v>71</v>
      </c>
      <c r="F480" s="2" t="str">
        <f t="shared" si="19"/>
        <v>RepeatUltrasoundIn1Week</v>
      </c>
      <c r="G480" s="2" t="b">
        <f t="shared" si="17"/>
        <v>1</v>
      </c>
      <c r="H480" s="2" t="str">
        <f t="shared" si="18"/>
        <v>Neither</v>
      </c>
    </row>
    <row r="481" spans="1:8" x14ac:dyDescent="0.2">
      <c r="A481" s="2" t="s">
        <v>29</v>
      </c>
      <c r="B481" s="2" t="s">
        <v>32</v>
      </c>
      <c r="C481" s="2">
        <v>27</v>
      </c>
      <c r="D481" s="2" t="s">
        <v>73</v>
      </c>
      <c r="E481" s="2" t="s">
        <v>71</v>
      </c>
      <c r="F481" s="2" t="str">
        <f t="shared" si="19"/>
        <v>RepeatUltrasoundIn1Week</v>
      </c>
      <c r="G481" s="2" t="b">
        <f t="shared" si="17"/>
        <v>1</v>
      </c>
      <c r="H481" s="2" t="str">
        <f t="shared" si="18"/>
        <v>Neither</v>
      </c>
    </row>
    <row r="482" spans="1:8" x14ac:dyDescent="0.2">
      <c r="A482" s="2" t="s">
        <v>29</v>
      </c>
      <c r="B482" s="2" t="s">
        <v>32</v>
      </c>
      <c r="C482" s="2">
        <v>28</v>
      </c>
      <c r="D482" s="2" t="s">
        <v>73</v>
      </c>
      <c r="E482" s="2" t="s">
        <v>71</v>
      </c>
      <c r="F482" s="2" t="str">
        <f t="shared" si="19"/>
        <v>RepeatUltrasoundIn1Week</v>
      </c>
      <c r="G482" s="2" t="b">
        <f t="shared" si="17"/>
        <v>1</v>
      </c>
      <c r="H482" s="2" t="str">
        <f t="shared" si="18"/>
        <v>Neither</v>
      </c>
    </row>
    <row r="483" spans="1:8" x14ac:dyDescent="0.2">
      <c r="A483" s="2" t="s">
        <v>29</v>
      </c>
      <c r="B483" s="2" t="s">
        <v>32</v>
      </c>
      <c r="C483" s="2">
        <v>29</v>
      </c>
      <c r="D483" s="2" t="s">
        <v>73</v>
      </c>
      <c r="E483" s="2" t="s">
        <v>71</v>
      </c>
      <c r="F483" s="2" t="str">
        <f t="shared" si="19"/>
        <v>RepeatUltrasoundIn1Week</v>
      </c>
      <c r="G483" s="2" t="b">
        <f t="shared" si="17"/>
        <v>1</v>
      </c>
      <c r="H483" s="2" t="str">
        <f t="shared" si="18"/>
        <v>Neither</v>
      </c>
    </row>
    <row r="484" spans="1:8" x14ac:dyDescent="0.2">
      <c r="A484" s="2" t="s">
        <v>29</v>
      </c>
      <c r="B484" s="2" t="s">
        <v>32</v>
      </c>
      <c r="C484" s="2">
        <v>31</v>
      </c>
      <c r="D484" s="2" t="s">
        <v>73</v>
      </c>
      <c r="E484" s="2" t="s">
        <v>73</v>
      </c>
      <c r="F484" s="2" t="str">
        <f t="shared" si="19"/>
        <v>ExcludeDVT</v>
      </c>
      <c r="G484" s="2" t="b">
        <f t="shared" si="17"/>
        <v>1</v>
      </c>
      <c r="H484" s="2" t="str">
        <f t="shared" si="18"/>
        <v>Guideline-compliant</v>
      </c>
    </row>
    <row r="485" spans="1:8" x14ac:dyDescent="0.2">
      <c r="A485" s="2" t="s">
        <v>29</v>
      </c>
      <c r="B485" s="2" t="s">
        <v>32</v>
      </c>
      <c r="C485" s="2">
        <v>32</v>
      </c>
      <c r="D485" s="2" t="s">
        <v>73</v>
      </c>
      <c r="E485" s="2" t="s">
        <v>73</v>
      </c>
      <c r="F485" s="2" t="str">
        <f t="shared" si="19"/>
        <v>ExcludeDVT</v>
      </c>
      <c r="G485" s="2" t="b">
        <f t="shared" si="17"/>
        <v>1</v>
      </c>
      <c r="H485" s="2" t="str">
        <f t="shared" si="18"/>
        <v>Guideline-compliant</v>
      </c>
    </row>
    <row r="486" spans="1:8" x14ac:dyDescent="0.2">
      <c r="A486" s="2" t="s">
        <v>29</v>
      </c>
      <c r="B486" s="2" t="s">
        <v>32</v>
      </c>
      <c r="C486" s="2">
        <v>41</v>
      </c>
      <c r="D486" s="2" t="s">
        <v>71</v>
      </c>
      <c r="E486" s="2" t="s">
        <v>71</v>
      </c>
      <c r="F486" s="2" t="str">
        <f t="shared" si="19"/>
        <v>TreatAnticoagulation</v>
      </c>
      <c r="G486" s="2" t="b">
        <f t="shared" si="17"/>
        <v>1</v>
      </c>
      <c r="H486" s="2" t="str">
        <f t="shared" si="18"/>
        <v>Guideline-compliant</v>
      </c>
    </row>
    <row r="487" spans="1:8" x14ac:dyDescent="0.2">
      <c r="A487" s="2" t="s">
        <v>30</v>
      </c>
      <c r="B487" s="2" t="s">
        <v>32</v>
      </c>
      <c r="C487" s="2">
        <v>1</v>
      </c>
      <c r="D487" s="2" t="s">
        <v>28</v>
      </c>
      <c r="E487" s="2" t="s">
        <v>73</v>
      </c>
      <c r="F487" s="2" t="str">
        <f t="shared" si="19"/>
        <v>ExcludeDVT</v>
      </c>
      <c r="G487" s="2" t="b">
        <f t="shared" si="17"/>
        <v>1</v>
      </c>
      <c r="H487" s="2" t="str">
        <f t="shared" si="18"/>
        <v>Parse Error</v>
      </c>
    </row>
    <row r="488" spans="1:8" x14ac:dyDescent="0.2">
      <c r="A488" s="2" t="s">
        <v>30</v>
      </c>
      <c r="B488" s="2" t="s">
        <v>32</v>
      </c>
      <c r="C488" s="2">
        <v>2</v>
      </c>
      <c r="D488" s="2" t="s">
        <v>28</v>
      </c>
      <c r="E488" s="2" t="s">
        <v>73</v>
      </c>
      <c r="F488" s="2" t="str">
        <f t="shared" si="19"/>
        <v>ExcludeDVT</v>
      </c>
      <c r="G488" s="2" t="b">
        <f t="shared" si="17"/>
        <v>1</v>
      </c>
      <c r="H488" s="2" t="str">
        <f t="shared" si="18"/>
        <v>Parse Error</v>
      </c>
    </row>
    <row r="489" spans="1:8" x14ac:dyDescent="0.2">
      <c r="A489" s="2" t="s">
        <v>30</v>
      </c>
      <c r="B489" s="2" t="s">
        <v>32</v>
      </c>
      <c r="C489" s="2">
        <v>3</v>
      </c>
      <c r="D489" s="2" t="s">
        <v>28</v>
      </c>
      <c r="E489" s="2" t="s">
        <v>73</v>
      </c>
      <c r="F489" s="2" t="str">
        <f t="shared" si="19"/>
        <v>ExcludeDVT</v>
      </c>
      <c r="G489" s="2" t="b">
        <f t="shared" si="17"/>
        <v>1</v>
      </c>
      <c r="H489" s="2" t="str">
        <f t="shared" si="18"/>
        <v>Parse Error</v>
      </c>
    </row>
    <row r="490" spans="1:8" x14ac:dyDescent="0.2">
      <c r="A490" s="2" t="s">
        <v>30</v>
      </c>
      <c r="B490" s="2" t="s">
        <v>32</v>
      </c>
      <c r="C490" s="2">
        <v>4</v>
      </c>
      <c r="D490" s="2" t="s">
        <v>28</v>
      </c>
      <c r="E490" s="2" t="s">
        <v>71</v>
      </c>
      <c r="F490" s="2" t="str">
        <f t="shared" si="19"/>
        <v>TreatAnticoagulation</v>
      </c>
      <c r="G490" s="2" t="b">
        <f t="shared" si="17"/>
        <v>1</v>
      </c>
      <c r="H490" s="2" t="str">
        <f t="shared" si="18"/>
        <v>Parse Error</v>
      </c>
    </row>
    <row r="491" spans="1:8" x14ac:dyDescent="0.2">
      <c r="A491" s="2" t="s">
        <v>30</v>
      </c>
      <c r="B491" s="2" t="s">
        <v>32</v>
      </c>
      <c r="C491" s="2">
        <v>11</v>
      </c>
      <c r="D491" s="2" t="s">
        <v>28</v>
      </c>
      <c r="E491" s="2" t="s">
        <v>73</v>
      </c>
      <c r="F491" s="2" t="str">
        <f t="shared" si="19"/>
        <v>ExcludeDVT</v>
      </c>
      <c r="G491" s="2" t="b">
        <f t="shared" si="17"/>
        <v>1</v>
      </c>
      <c r="H491" s="2" t="str">
        <f t="shared" si="18"/>
        <v>Parse Error</v>
      </c>
    </row>
    <row r="492" spans="1:8" x14ac:dyDescent="0.2">
      <c r="A492" s="2" t="s">
        <v>30</v>
      </c>
      <c r="B492" s="2" t="s">
        <v>32</v>
      </c>
      <c r="C492" s="2">
        <v>12</v>
      </c>
      <c r="D492" s="2" t="s">
        <v>28</v>
      </c>
      <c r="E492" s="2" t="s">
        <v>71</v>
      </c>
      <c r="F492" s="2" t="str">
        <f t="shared" si="19"/>
        <v>TreatAnticoagulation</v>
      </c>
      <c r="G492" s="2" t="b">
        <f t="shared" si="17"/>
        <v>1</v>
      </c>
      <c r="H492" s="2" t="str">
        <f t="shared" si="18"/>
        <v>Parse Error</v>
      </c>
    </row>
    <row r="493" spans="1:8" x14ac:dyDescent="0.2">
      <c r="A493" s="2" t="s">
        <v>30</v>
      </c>
      <c r="B493" s="2" t="s">
        <v>32</v>
      </c>
      <c r="C493" s="2">
        <v>13</v>
      </c>
      <c r="D493" s="2" t="s">
        <v>28</v>
      </c>
      <c r="E493" s="2" t="s">
        <v>71</v>
      </c>
      <c r="F493" s="2" t="str">
        <f t="shared" si="19"/>
        <v>TreatAnticoagulation</v>
      </c>
      <c r="G493" s="2" t="b">
        <f t="shared" si="17"/>
        <v>1</v>
      </c>
      <c r="H493" s="2" t="str">
        <f t="shared" si="18"/>
        <v>Parse Error</v>
      </c>
    </row>
    <row r="494" spans="1:8" x14ac:dyDescent="0.2">
      <c r="A494" s="2" t="s">
        <v>30</v>
      </c>
      <c r="B494" s="2" t="s">
        <v>32</v>
      </c>
      <c r="C494" s="2">
        <v>14</v>
      </c>
      <c r="D494" s="2" t="s">
        <v>28</v>
      </c>
      <c r="E494" s="2" t="s">
        <v>71</v>
      </c>
      <c r="F494" s="2" t="str">
        <f t="shared" si="19"/>
        <v>RepeatUltrasoundIn1Week</v>
      </c>
      <c r="G494" s="2" t="b">
        <f t="shared" si="17"/>
        <v>1</v>
      </c>
      <c r="H494" s="2" t="str">
        <f t="shared" si="18"/>
        <v>Parse Error</v>
      </c>
    </row>
    <row r="495" spans="1:8" x14ac:dyDescent="0.2">
      <c r="A495" s="2" t="s">
        <v>30</v>
      </c>
      <c r="B495" s="2" t="s">
        <v>32</v>
      </c>
      <c r="C495" s="2">
        <v>21</v>
      </c>
      <c r="D495" s="2" t="s">
        <v>28</v>
      </c>
      <c r="E495" s="2" t="s">
        <v>73</v>
      </c>
      <c r="F495" s="2" t="str">
        <f t="shared" si="19"/>
        <v>ExcludeDVT</v>
      </c>
      <c r="G495" s="2" t="b">
        <f t="shared" si="17"/>
        <v>1</v>
      </c>
      <c r="H495" s="2" t="str">
        <f t="shared" si="18"/>
        <v>Parse Error</v>
      </c>
    </row>
    <row r="496" spans="1:8" x14ac:dyDescent="0.2">
      <c r="A496" s="2" t="s">
        <v>30</v>
      </c>
      <c r="B496" s="2" t="s">
        <v>32</v>
      </c>
      <c r="C496" s="2">
        <v>22</v>
      </c>
      <c r="D496" s="2" t="s">
        <v>28</v>
      </c>
      <c r="E496" s="2" t="s">
        <v>71</v>
      </c>
      <c r="F496" s="2" t="str">
        <f t="shared" si="19"/>
        <v>RepeatUltrasoundIn1Week</v>
      </c>
      <c r="G496" s="2" t="b">
        <f t="shared" si="17"/>
        <v>1</v>
      </c>
      <c r="H496" s="2" t="str">
        <f t="shared" si="18"/>
        <v>Parse Error</v>
      </c>
    </row>
    <row r="497" spans="1:8" x14ac:dyDescent="0.2">
      <c r="A497" s="2" t="s">
        <v>30</v>
      </c>
      <c r="B497" s="2" t="s">
        <v>32</v>
      </c>
      <c r="C497" s="2">
        <v>23</v>
      </c>
      <c r="D497" s="2" t="s">
        <v>28</v>
      </c>
      <c r="E497" s="2" t="s">
        <v>71</v>
      </c>
      <c r="F497" s="2" t="str">
        <f t="shared" si="19"/>
        <v>RepeatUltrasoundIn1Week</v>
      </c>
      <c r="G497" s="2" t="b">
        <f t="shared" si="17"/>
        <v>1</v>
      </c>
      <c r="H497" s="2" t="str">
        <f t="shared" si="18"/>
        <v>Parse Error</v>
      </c>
    </row>
    <row r="498" spans="1:8" x14ac:dyDescent="0.2">
      <c r="A498" s="2" t="s">
        <v>30</v>
      </c>
      <c r="B498" s="2" t="s">
        <v>32</v>
      </c>
      <c r="C498" s="2">
        <v>24</v>
      </c>
      <c r="D498" s="2" t="s">
        <v>28</v>
      </c>
      <c r="E498" s="2" t="s">
        <v>71</v>
      </c>
      <c r="F498" s="2" t="str">
        <f t="shared" si="19"/>
        <v>RepeatUltrasoundIn1Week</v>
      </c>
      <c r="G498" s="2" t="b">
        <f t="shared" si="17"/>
        <v>1</v>
      </c>
      <c r="H498" s="2" t="str">
        <f t="shared" si="18"/>
        <v>Parse Error</v>
      </c>
    </row>
    <row r="499" spans="1:8" x14ac:dyDescent="0.2">
      <c r="A499" s="2" t="s">
        <v>30</v>
      </c>
      <c r="B499" s="2" t="s">
        <v>32</v>
      </c>
      <c r="C499" s="2">
        <v>25</v>
      </c>
      <c r="D499" s="2" t="s">
        <v>28</v>
      </c>
      <c r="E499" s="2" t="s">
        <v>71</v>
      </c>
      <c r="F499" s="2" t="str">
        <f t="shared" si="19"/>
        <v>RepeatUltrasoundIn1Week</v>
      </c>
      <c r="G499" s="2" t="b">
        <f t="shared" si="17"/>
        <v>1</v>
      </c>
      <c r="H499" s="2" t="str">
        <f t="shared" si="18"/>
        <v>Parse Error</v>
      </c>
    </row>
    <row r="500" spans="1:8" x14ac:dyDescent="0.2">
      <c r="A500" s="2" t="s">
        <v>30</v>
      </c>
      <c r="B500" s="2" t="s">
        <v>32</v>
      </c>
      <c r="C500" s="2">
        <v>26</v>
      </c>
      <c r="D500" s="2" t="s">
        <v>28</v>
      </c>
      <c r="E500" s="2" t="s">
        <v>71</v>
      </c>
      <c r="F500" s="2" t="str">
        <f t="shared" si="19"/>
        <v>RepeatUltrasoundIn1Week</v>
      </c>
      <c r="G500" s="2" t="b">
        <f t="shared" si="17"/>
        <v>1</v>
      </c>
      <c r="H500" s="2" t="str">
        <f t="shared" si="18"/>
        <v>Parse Error</v>
      </c>
    </row>
    <row r="501" spans="1:8" x14ac:dyDescent="0.2">
      <c r="A501" s="2" t="s">
        <v>30</v>
      </c>
      <c r="B501" s="2" t="s">
        <v>32</v>
      </c>
      <c r="C501" s="2">
        <v>27</v>
      </c>
      <c r="D501" s="2" t="s">
        <v>28</v>
      </c>
      <c r="E501" s="2" t="s">
        <v>71</v>
      </c>
      <c r="F501" s="2" t="str">
        <f t="shared" si="19"/>
        <v>RepeatUltrasoundIn1Week</v>
      </c>
      <c r="G501" s="2" t="b">
        <f t="shared" si="17"/>
        <v>1</v>
      </c>
      <c r="H501" s="2" t="str">
        <f t="shared" si="18"/>
        <v>Parse Error</v>
      </c>
    </row>
    <row r="502" spans="1:8" x14ac:dyDescent="0.2">
      <c r="A502" s="2" t="s">
        <v>30</v>
      </c>
      <c r="B502" s="2" t="s">
        <v>32</v>
      </c>
      <c r="C502" s="2">
        <v>28</v>
      </c>
      <c r="D502" s="2" t="s">
        <v>28</v>
      </c>
      <c r="E502" s="2" t="s">
        <v>71</v>
      </c>
      <c r="F502" s="2" t="str">
        <f t="shared" si="19"/>
        <v>RepeatUltrasoundIn1Week</v>
      </c>
      <c r="G502" s="2" t="b">
        <f t="shared" si="17"/>
        <v>1</v>
      </c>
      <c r="H502" s="2" t="str">
        <f t="shared" si="18"/>
        <v>Parse Error</v>
      </c>
    </row>
    <row r="503" spans="1:8" x14ac:dyDescent="0.2">
      <c r="A503" s="2" t="s">
        <v>30</v>
      </c>
      <c r="B503" s="2" t="s">
        <v>32</v>
      </c>
      <c r="C503" s="2">
        <v>29</v>
      </c>
      <c r="D503" s="2" t="s">
        <v>28</v>
      </c>
      <c r="E503" s="2" t="s">
        <v>71</v>
      </c>
      <c r="F503" s="2" t="str">
        <f t="shared" si="19"/>
        <v>RepeatUltrasoundIn1Week</v>
      </c>
      <c r="G503" s="2" t="b">
        <f t="shared" si="17"/>
        <v>1</v>
      </c>
      <c r="H503" s="2" t="str">
        <f t="shared" si="18"/>
        <v>Parse Error</v>
      </c>
    </row>
    <row r="504" spans="1:8" x14ac:dyDescent="0.2">
      <c r="A504" s="2" t="s">
        <v>30</v>
      </c>
      <c r="B504" s="2" t="s">
        <v>32</v>
      </c>
      <c r="C504" s="2">
        <v>31</v>
      </c>
      <c r="D504" s="2" t="s">
        <v>28</v>
      </c>
      <c r="E504" s="2" t="s">
        <v>73</v>
      </c>
      <c r="F504" s="2" t="str">
        <f t="shared" si="19"/>
        <v>ExcludeDVT</v>
      </c>
      <c r="G504" s="2" t="b">
        <f t="shared" si="17"/>
        <v>1</v>
      </c>
      <c r="H504" s="2" t="str">
        <f t="shared" si="18"/>
        <v>Parse Error</v>
      </c>
    </row>
    <row r="505" spans="1:8" x14ac:dyDescent="0.2">
      <c r="A505" s="2" t="s">
        <v>30</v>
      </c>
      <c r="B505" s="2" t="s">
        <v>32</v>
      </c>
      <c r="C505" s="2">
        <v>32</v>
      </c>
      <c r="D505" s="2" t="s">
        <v>28</v>
      </c>
      <c r="E505" s="2" t="s">
        <v>73</v>
      </c>
      <c r="F505" s="2" t="str">
        <f t="shared" si="19"/>
        <v>ExcludeDVT</v>
      </c>
      <c r="G505" s="2" t="b">
        <f t="shared" si="17"/>
        <v>1</v>
      </c>
      <c r="H505" s="2" t="str">
        <f t="shared" si="18"/>
        <v>Parse Error</v>
      </c>
    </row>
    <row r="506" spans="1:8" x14ac:dyDescent="0.2">
      <c r="A506" s="2" t="s">
        <v>30</v>
      </c>
      <c r="B506" s="2" t="s">
        <v>32</v>
      </c>
      <c r="C506" s="2">
        <v>41</v>
      </c>
      <c r="D506" s="2" t="s">
        <v>28</v>
      </c>
      <c r="E506" s="2" t="s">
        <v>71</v>
      </c>
      <c r="F506" s="2" t="str">
        <f t="shared" si="19"/>
        <v>TreatAnticoagulation</v>
      </c>
      <c r="G506" s="2" t="b">
        <f t="shared" si="17"/>
        <v>1</v>
      </c>
      <c r="H506" s="2" t="str">
        <f t="shared" si="18"/>
        <v>Parse Error</v>
      </c>
    </row>
    <row r="508" spans="1:8" x14ac:dyDescent="0.2">
      <c r="A508" s="1" t="s">
        <v>0</v>
      </c>
      <c r="B508" s="1" t="s">
        <v>44</v>
      </c>
      <c r="C508" s="1" t="s">
        <v>45</v>
      </c>
      <c r="D508" s="1" t="s">
        <v>46</v>
      </c>
      <c r="E508" s="1" t="s">
        <v>47</v>
      </c>
      <c r="F508" s="1" t="s">
        <v>48</v>
      </c>
    </row>
    <row r="509" spans="1:8" x14ac:dyDescent="0.2">
      <c r="A509" s="2" t="s">
        <v>8</v>
      </c>
      <c r="B509" s="2">
        <f>COUNTIFS(A267:A506,"gpt",H267:H506,"Guideline-compliant",G267:G506,TRUE)</f>
        <v>23</v>
      </c>
      <c r="C509" s="2">
        <f>COUNTIFS(A267:A506,"gpt",H267:H506,"Knowledge-override",G267:G506,TRUE)</f>
        <v>11</v>
      </c>
      <c r="D509" s="2">
        <f>COUNTIFS(A267:A506,"gpt",H267:H506,"Neither",G267:G506,TRUE)</f>
        <v>6</v>
      </c>
      <c r="E509" s="2">
        <f>COUNTIFS(A267:A506,"gpt",H267:H506,"Parse Error",G267:G506,TRUE)</f>
        <v>0</v>
      </c>
      <c r="F509" s="2">
        <f>SUM(B509:E509)</f>
        <v>40</v>
      </c>
    </row>
    <row r="510" spans="1:8" x14ac:dyDescent="0.2">
      <c r="A510" s="2" t="s">
        <v>27</v>
      </c>
      <c r="B510" s="2">
        <f>COUNTIFS(A267:A506,"claude",H267:H506,"Guideline-compliant",G267:G506,TRUE)</f>
        <v>0</v>
      </c>
      <c r="C510" s="2">
        <f>COUNTIFS(A267:A506,"claude",H267:H506,"Knowledge-override",G267:G506,TRUE)</f>
        <v>0</v>
      </c>
      <c r="D510" s="2">
        <f>COUNTIFS(A267:A506,"claude",H267:H506,"Neither",G267:G506,TRUE)</f>
        <v>0</v>
      </c>
      <c r="E510" s="2">
        <f>COUNTIFS(A267:A506,"claude",H267:H506,"Parse Error",G267:G506,TRUE)</f>
        <v>40</v>
      </c>
      <c r="F510" s="2">
        <f>SUM(B510:E510)</f>
        <v>40</v>
      </c>
    </row>
    <row r="511" spans="1:8" x14ac:dyDescent="0.2">
      <c r="A511" s="2" t="s">
        <v>29</v>
      </c>
      <c r="B511" s="2">
        <f>COUNTIFS(A267:A506,"gemini",H267:H506,"Guideline-compliant",G267:G506,TRUE)</f>
        <v>11</v>
      </c>
      <c r="C511" s="2">
        <f>COUNTIFS(A267:A506,"gemini",H267:H506,"Knowledge-override",G267:G506,TRUE)</f>
        <v>11</v>
      </c>
      <c r="D511" s="2">
        <f>COUNTIFS(A267:A506,"gemini",H267:H506,"Neither",G267:G506,TRUE)</f>
        <v>18</v>
      </c>
      <c r="E511" s="2">
        <f>COUNTIFS(A267:A506,"gpt",H267:H506,"Parse Error",G267:G506,TRUE)</f>
        <v>0</v>
      </c>
      <c r="F511" s="2">
        <f>SUM(B511:E511)</f>
        <v>40</v>
      </c>
    </row>
    <row r="512" spans="1:8" x14ac:dyDescent="0.2">
      <c r="A512" s="2" t="s">
        <v>30</v>
      </c>
      <c r="B512" s="2">
        <f>COUNTIFS(A267:A506,"llama",H267:H506,"Guideline-compliant",G267:G506,TRUE)</f>
        <v>0</v>
      </c>
      <c r="C512" s="2">
        <f>COUNTIFS(A267:A506,"llama",H267:H506,"Knowledge-override",G267:G506,TRUE)</f>
        <v>0</v>
      </c>
      <c r="D512" s="2">
        <f>COUNTIFS(A267:A506,"llama",H267:H506,"Neither",G267:G506,TRUE)</f>
        <v>0</v>
      </c>
      <c r="E512" s="2">
        <f>COUNTIFS(A267:A506,"llama",H267:H506,"Parse Error",G267:G506,TRUE)</f>
        <v>40</v>
      </c>
      <c r="F512" s="2">
        <f>SUM(B512:E512)</f>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EE2CE-B319-3B42-8C0D-B5FBA590DEA3}">
  <dimension ref="A1:K681"/>
  <sheetViews>
    <sheetView topLeftCell="A666" workbookViewId="0">
      <selection activeCell="F678" sqref="F678"/>
    </sheetView>
  </sheetViews>
  <sheetFormatPr baseColWidth="10" defaultRowHeight="16" x14ac:dyDescent="0.2"/>
  <cols>
    <col min="2" max="2" width="30.33203125" customWidth="1"/>
    <col min="4" max="4" width="18.5" customWidth="1"/>
    <col min="5" max="5" width="23.5" customWidth="1"/>
    <col min="6" max="6" width="36.1640625" customWidth="1"/>
    <col min="8" max="8" width="26.1640625" customWidth="1"/>
  </cols>
  <sheetData>
    <row r="1" spans="1:8" x14ac:dyDescent="0.2">
      <c r="A1" s="1" t="s">
        <v>0</v>
      </c>
      <c r="B1" s="1" t="s">
        <v>1</v>
      </c>
      <c r="C1" s="1" t="s">
        <v>2</v>
      </c>
      <c r="D1" s="1" t="s">
        <v>3</v>
      </c>
      <c r="E1" s="1" t="s">
        <v>4</v>
      </c>
      <c r="F1" s="1" t="s">
        <v>5</v>
      </c>
      <c r="G1" s="1" t="s">
        <v>6</v>
      </c>
      <c r="H1" s="1" t="s">
        <v>7</v>
      </c>
    </row>
    <row r="2" spans="1:8" x14ac:dyDescent="0.2">
      <c r="A2" s="2" t="s">
        <v>8</v>
      </c>
      <c r="B2" s="2" t="s">
        <v>9</v>
      </c>
      <c r="C2" s="2">
        <v>1</v>
      </c>
      <c r="D2" s="2" t="s">
        <v>94</v>
      </c>
      <c r="E2" s="2" t="s">
        <v>94</v>
      </c>
      <c r="F2" s="3" t="b">
        <f>TRUE()</f>
        <v>1</v>
      </c>
      <c r="G2" s="2" t="s">
        <v>95</v>
      </c>
      <c r="H2" s="2" t="str">
        <f t="shared" ref="H2:H65" si="0">A2&amp;"|"&amp;B2&amp;"|"&amp;C2</f>
        <v>gpt|threshold_small|1</v>
      </c>
    </row>
    <row r="3" spans="1:8" x14ac:dyDescent="0.2">
      <c r="A3" s="2" t="s">
        <v>8</v>
      </c>
      <c r="B3" s="2" t="s">
        <v>9</v>
      </c>
      <c r="C3" s="2">
        <v>11</v>
      </c>
      <c r="D3" s="2" t="s">
        <v>96</v>
      </c>
      <c r="E3" s="2" t="s">
        <v>94</v>
      </c>
      <c r="F3" s="4" t="b">
        <f>FALSE()</f>
        <v>0</v>
      </c>
      <c r="G3" s="2" t="s">
        <v>97</v>
      </c>
      <c r="H3" s="2" t="str">
        <f t="shared" si="0"/>
        <v>gpt|threshold_small|11</v>
      </c>
    </row>
    <row r="4" spans="1:8" x14ac:dyDescent="0.2">
      <c r="A4" s="2" t="s">
        <v>8</v>
      </c>
      <c r="B4" s="2" t="s">
        <v>9</v>
      </c>
      <c r="C4" s="2">
        <v>12</v>
      </c>
      <c r="D4" s="2" t="s">
        <v>96</v>
      </c>
      <c r="E4" s="2" t="s">
        <v>94</v>
      </c>
      <c r="F4" s="4" t="b">
        <f>FALSE()</f>
        <v>0</v>
      </c>
      <c r="G4" s="2" t="s">
        <v>98</v>
      </c>
      <c r="H4" s="2" t="str">
        <f t="shared" si="0"/>
        <v>gpt|threshold_small|12</v>
      </c>
    </row>
    <row r="5" spans="1:8" x14ac:dyDescent="0.2">
      <c r="A5" s="2" t="s">
        <v>8</v>
      </c>
      <c r="B5" s="2" t="s">
        <v>9</v>
      </c>
      <c r="C5" s="2">
        <v>13</v>
      </c>
      <c r="D5" s="2" t="s">
        <v>94</v>
      </c>
      <c r="E5" s="2" t="s">
        <v>94</v>
      </c>
      <c r="F5" s="3" t="b">
        <f>TRUE()</f>
        <v>1</v>
      </c>
      <c r="G5" s="2" t="s">
        <v>99</v>
      </c>
      <c r="H5" s="2" t="str">
        <f t="shared" si="0"/>
        <v>gpt|threshold_small|13</v>
      </c>
    </row>
    <row r="6" spans="1:8" x14ac:dyDescent="0.2">
      <c r="A6" s="2" t="s">
        <v>8</v>
      </c>
      <c r="B6" s="2" t="s">
        <v>9</v>
      </c>
      <c r="C6" s="2">
        <v>14</v>
      </c>
      <c r="D6" s="2" t="s">
        <v>94</v>
      </c>
      <c r="E6" s="2" t="s">
        <v>94</v>
      </c>
      <c r="F6" s="3" t="b">
        <f>TRUE()</f>
        <v>1</v>
      </c>
      <c r="G6" s="2" t="s">
        <v>100</v>
      </c>
      <c r="H6" s="2" t="str">
        <f t="shared" si="0"/>
        <v>gpt|threshold_small|14</v>
      </c>
    </row>
    <row r="7" spans="1:8" x14ac:dyDescent="0.2">
      <c r="A7" s="2" t="s">
        <v>8</v>
      </c>
      <c r="B7" s="2" t="s">
        <v>9</v>
      </c>
      <c r="C7" s="2">
        <v>15</v>
      </c>
      <c r="D7" s="2" t="s">
        <v>94</v>
      </c>
      <c r="E7" s="2" t="s">
        <v>94</v>
      </c>
      <c r="F7" s="3" t="b">
        <f>TRUE()</f>
        <v>1</v>
      </c>
      <c r="G7" s="2" t="s">
        <v>101</v>
      </c>
      <c r="H7" s="2" t="str">
        <f t="shared" si="0"/>
        <v>gpt|threshold_small|15</v>
      </c>
    </row>
    <row r="8" spans="1:8" x14ac:dyDescent="0.2">
      <c r="A8" s="2" t="s">
        <v>8</v>
      </c>
      <c r="B8" s="2" t="s">
        <v>9</v>
      </c>
      <c r="C8" s="2">
        <v>16</v>
      </c>
      <c r="D8" s="2" t="s">
        <v>94</v>
      </c>
      <c r="E8" s="2" t="s">
        <v>94</v>
      </c>
      <c r="F8" s="3" t="b">
        <f>TRUE()</f>
        <v>1</v>
      </c>
      <c r="G8" s="2" t="s">
        <v>102</v>
      </c>
      <c r="H8" s="2" t="str">
        <f t="shared" si="0"/>
        <v>gpt|threshold_small|16</v>
      </c>
    </row>
    <row r="9" spans="1:8" x14ac:dyDescent="0.2">
      <c r="A9" s="2" t="s">
        <v>8</v>
      </c>
      <c r="B9" s="2" t="s">
        <v>9</v>
      </c>
      <c r="C9" s="2">
        <v>17</v>
      </c>
      <c r="D9" s="2" t="s">
        <v>96</v>
      </c>
      <c r="E9" s="2" t="s">
        <v>94</v>
      </c>
      <c r="F9" s="4" t="b">
        <f>FALSE()</f>
        <v>0</v>
      </c>
      <c r="G9" s="2" t="s">
        <v>103</v>
      </c>
      <c r="H9" s="2" t="str">
        <f t="shared" si="0"/>
        <v>gpt|threshold_small|17</v>
      </c>
    </row>
    <row r="10" spans="1:8" x14ac:dyDescent="0.2">
      <c r="A10" s="2" t="s">
        <v>8</v>
      </c>
      <c r="B10" s="2" t="s">
        <v>9</v>
      </c>
      <c r="C10" s="2">
        <v>18</v>
      </c>
      <c r="D10" s="2" t="s">
        <v>96</v>
      </c>
      <c r="E10" s="2" t="s">
        <v>94</v>
      </c>
      <c r="F10" s="4" t="b">
        <f>FALSE()</f>
        <v>0</v>
      </c>
      <c r="G10" s="2" t="s">
        <v>104</v>
      </c>
      <c r="H10" s="2" t="str">
        <f t="shared" si="0"/>
        <v>gpt|threshold_small|18</v>
      </c>
    </row>
    <row r="11" spans="1:8" x14ac:dyDescent="0.2">
      <c r="A11" s="2" t="s">
        <v>8</v>
      </c>
      <c r="B11" s="2" t="s">
        <v>9</v>
      </c>
      <c r="C11" s="2">
        <v>19</v>
      </c>
      <c r="D11" s="2" t="s">
        <v>96</v>
      </c>
      <c r="E11" s="2" t="s">
        <v>96</v>
      </c>
      <c r="F11" s="3" t="b">
        <f>TRUE()</f>
        <v>1</v>
      </c>
      <c r="G11" s="2" t="s">
        <v>105</v>
      </c>
      <c r="H11" s="2" t="str">
        <f t="shared" si="0"/>
        <v>gpt|threshold_small|19</v>
      </c>
    </row>
    <row r="12" spans="1:8" x14ac:dyDescent="0.2">
      <c r="A12" s="2" t="s">
        <v>8</v>
      </c>
      <c r="B12" s="2" t="s">
        <v>9</v>
      </c>
      <c r="C12" s="2">
        <v>20</v>
      </c>
      <c r="D12" s="2" t="s">
        <v>96</v>
      </c>
      <c r="E12" s="2" t="s">
        <v>96</v>
      </c>
      <c r="F12" s="3" t="b">
        <f>TRUE()</f>
        <v>1</v>
      </c>
      <c r="G12" s="2" t="s">
        <v>106</v>
      </c>
      <c r="H12" s="2" t="str">
        <f t="shared" si="0"/>
        <v>gpt|threshold_small|20</v>
      </c>
    </row>
    <row r="13" spans="1:8" x14ac:dyDescent="0.2">
      <c r="A13" s="2" t="s">
        <v>8</v>
      </c>
      <c r="B13" s="2" t="s">
        <v>9</v>
      </c>
      <c r="C13" s="2">
        <v>21</v>
      </c>
      <c r="D13" s="2" t="s">
        <v>96</v>
      </c>
      <c r="E13" s="2" t="s">
        <v>96</v>
      </c>
      <c r="F13" s="3" t="b">
        <f>TRUE()</f>
        <v>1</v>
      </c>
      <c r="G13" s="2" t="s">
        <v>107</v>
      </c>
      <c r="H13" s="2" t="str">
        <f t="shared" si="0"/>
        <v>gpt|threshold_small|21</v>
      </c>
    </row>
    <row r="14" spans="1:8" x14ac:dyDescent="0.2">
      <c r="A14" s="2" t="s">
        <v>8</v>
      </c>
      <c r="B14" s="2" t="s">
        <v>9</v>
      </c>
      <c r="C14" s="2">
        <v>22</v>
      </c>
      <c r="D14" s="2" t="s">
        <v>94</v>
      </c>
      <c r="E14" s="2" t="s">
        <v>94</v>
      </c>
      <c r="F14" s="3" t="b">
        <f>TRUE()</f>
        <v>1</v>
      </c>
      <c r="G14" s="2" t="s">
        <v>108</v>
      </c>
      <c r="H14" s="2" t="str">
        <f t="shared" si="0"/>
        <v>gpt|threshold_small|22</v>
      </c>
    </row>
    <row r="15" spans="1:8" x14ac:dyDescent="0.2">
      <c r="A15" s="2" t="s">
        <v>8</v>
      </c>
      <c r="B15" s="2" t="s">
        <v>9</v>
      </c>
      <c r="C15" s="2">
        <v>31</v>
      </c>
      <c r="D15" s="2" t="s">
        <v>96</v>
      </c>
      <c r="E15" s="2" t="s">
        <v>96</v>
      </c>
      <c r="F15" s="3" t="b">
        <f>TRUE()</f>
        <v>1</v>
      </c>
      <c r="G15" s="2" t="s">
        <v>109</v>
      </c>
      <c r="H15" s="2" t="str">
        <f t="shared" si="0"/>
        <v>gpt|threshold_small|31</v>
      </c>
    </row>
    <row r="16" spans="1:8" x14ac:dyDescent="0.2">
      <c r="A16" s="2" t="s">
        <v>8</v>
      </c>
      <c r="B16" s="2" t="s">
        <v>9</v>
      </c>
      <c r="C16" s="2">
        <v>32</v>
      </c>
      <c r="D16" s="2" t="s">
        <v>110</v>
      </c>
      <c r="E16" s="2" t="s">
        <v>110</v>
      </c>
      <c r="F16" s="3" t="b">
        <f>TRUE()</f>
        <v>1</v>
      </c>
      <c r="G16" s="2" t="s">
        <v>111</v>
      </c>
      <c r="H16" s="2" t="str">
        <f t="shared" si="0"/>
        <v>gpt|threshold_small|32</v>
      </c>
    </row>
    <row r="17" spans="1:8" x14ac:dyDescent="0.2">
      <c r="A17" s="2" t="s">
        <v>8</v>
      </c>
      <c r="B17" s="2" t="s">
        <v>9</v>
      </c>
      <c r="C17" s="2">
        <v>41</v>
      </c>
      <c r="D17" s="2" t="s">
        <v>110</v>
      </c>
      <c r="E17" s="2" t="s">
        <v>110</v>
      </c>
      <c r="F17" s="3" t="b">
        <f>TRUE()</f>
        <v>1</v>
      </c>
      <c r="G17" s="2" t="s">
        <v>112</v>
      </c>
      <c r="H17" s="2" t="str">
        <f t="shared" si="0"/>
        <v>gpt|threshold_small|41</v>
      </c>
    </row>
    <row r="18" spans="1:8" x14ac:dyDescent="0.2">
      <c r="A18" s="2" t="s">
        <v>8</v>
      </c>
      <c r="B18" s="2" t="s">
        <v>9</v>
      </c>
      <c r="C18" s="2">
        <v>42</v>
      </c>
      <c r="D18" s="2" t="s">
        <v>110</v>
      </c>
      <c r="E18" s="2" t="s">
        <v>110</v>
      </c>
      <c r="F18" s="3" t="b">
        <f>TRUE()</f>
        <v>1</v>
      </c>
      <c r="G18" s="2" t="s">
        <v>113</v>
      </c>
      <c r="H18" s="2" t="str">
        <f t="shared" si="0"/>
        <v>gpt|threshold_small|42</v>
      </c>
    </row>
    <row r="19" spans="1:8" x14ac:dyDescent="0.2">
      <c r="A19" s="2" t="s">
        <v>8</v>
      </c>
      <c r="B19" s="2" t="s">
        <v>9</v>
      </c>
      <c r="C19" s="2">
        <v>51</v>
      </c>
      <c r="D19" s="2" t="s">
        <v>96</v>
      </c>
      <c r="E19" s="2" t="s">
        <v>96</v>
      </c>
      <c r="F19" s="3" t="b">
        <f>TRUE()</f>
        <v>1</v>
      </c>
      <c r="G19" s="2" t="s">
        <v>114</v>
      </c>
      <c r="H19" s="2" t="str">
        <f t="shared" si="0"/>
        <v>gpt|threshold_small|51</v>
      </c>
    </row>
    <row r="20" spans="1:8" x14ac:dyDescent="0.2">
      <c r="A20" s="2" t="s">
        <v>8</v>
      </c>
      <c r="B20" s="2" t="s">
        <v>9</v>
      </c>
      <c r="C20" s="2">
        <v>52</v>
      </c>
      <c r="D20" s="2" t="s">
        <v>96</v>
      </c>
      <c r="E20" s="2" t="s">
        <v>110</v>
      </c>
      <c r="F20" s="4" t="b">
        <f>FALSE()</f>
        <v>0</v>
      </c>
      <c r="G20" s="2" t="s">
        <v>115</v>
      </c>
      <c r="H20" s="2" t="str">
        <f t="shared" si="0"/>
        <v>gpt|threshold_small|52</v>
      </c>
    </row>
    <row r="21" spans="1:8" x14ac:dyDescent="0.2">
      <c r="A21" s="2" t="s">
        <v>8</v>
      </c>
      <c r="B21" s="2" t="s">
        <v>9</v>
      </c>
      <c r="C21" s="2">
        <v>61</v>
      </c>
      <c r="D21" s="2" t="s">
        <v>96</v>
      </c>
      <c r="E21" s="2" t="s">
        <v>96</v>
      </c>
      <c r="F21" s="3" t="b">
        <f>TRUE()</f>
        <v>1</v>
      </c>
      <c r="G21" s="2" t="s">
        <v>103</v>
      </c>
      <c r="H21" s="2" t="str">
        <f t="shared" si="0"/>
        <v>gpt|threshold_small|61</v>
      </c>
    </row>
    <row r="22" spans="1:8" x14ac:dyDescent="0.2">
      <c r="A22" s="2" t="s">
        <v>8</v>
      </c>
      <c r="B22" s="2" t="s">
        <v>9</v>
      </c>
      <c r="C22" s="2">
        <v>62</v>
      </c>
      <c r="D22" s="2" t="s">
        <v>96</v>
      </c>
      <c r="E22" s="2" t="s">
        <v>94</v>
      </c>
      <c r="F22" s="4" t="b">
        <f>FALSE()</f>
        <v>0</v>
      </c>
      <c r="G22" s="2" t="s">
        <v>104</v>
      </c>
      <c r="H22" s="2" t="str">
        <f t="shared" si="0"/>
        <v>gpt|threshold_small|62</v>
      </c>
    </row>
    <row r="23" spans="1:8" x14ac:dyDescent="0.2">
      <c r="A23" s="2" t="s">
        <v>8</v>
      </c>
      <c r="B23" s="2" t="s">
        <v>9</v>
      </c>
      <c r="C23" s="2">
        <v>63</v>
      </c>
      <c r="D23" s="2" t="s">
        <v>96</v>
      </c>
      <c r="E23" s="2" t="s">
        <v>96</v>
      </c>
      <c r="F23" s="3" t="b">
        <f>TRUE()</f>
        <v>1</v>
      </c>
      <c r="G23" s="2" t="s">
        <v>116</v>
      </c>
      <c r="H23" s="2" t="str">
        <f t="shared" si="0"/>
        <v>gpt|threshold_small|63</v>
      </c>
    </row>
    <row r="24" spans="1:8" x14ac:dyDescent="0.2">
      <c r="A24" s="2" t="s">
        <v>8</v>
      </c>
      <c r="B24" s="2" t="s">
        <v>9</v>
      </c>
      <c r="C24" s="2">
        <v>64</v>
      </c>
      <c r="D24" s="2" t="s">
        <v>96</v>
      </c>
      <c r="E24" s="2" t="s">
        <v>96</v>
      </c>
      <c r="F24" s="3" t="b">
        <f>TRUE()</f>
        <v>1</v>
      </c>
      <c r="G24" s="2" t="s">
        <v>105</v>
      </c>
      <c r="H24" s="2" t="str">
        <f t="shared" si="0"/>
        <v>gpt|threshold_small|64</v>
      </c>
    </row>
    <row r="25" spans="1:8" x14ac:dyDescent="0.2">
      <c r="A25" s="2" t="s">
        <v>8</v>
      </c>
      <c r="B25" s="2" t="s">
        <v>9</v>
      </c>
      <c r="C25" s="2">
        <v>65</v>
      </c>
      <c r="D25" s="2" t="s">
        <v>96</v>
      </c>
      <c r="E25" s="2" t="s">
        <v>96</v>
      </c>
      <c r="F25" s="3" t="b">
        <f>TRUE()</f>
        <v>1</v>
      </c>
      <c r="G25" s="2" t="s">
        <v>106</v>
      </c>
      <c r="H25" s="2" t="str">
        <f t="shared" si="0"/>
        <v>gpt|threshold_small|65</v>
      </c>
    </row>
    <row r="26" spans="1:8" x14ac:dyDescent="0.2">
      <c r="A26" s="2" t="s">
        <v>8</v>
      </c>
      <c r="B26" s="2" t="s">
        <v>9</v>
      </c>
      <c r="C26" s="2">
        <v>66</v>
      </c>
      <c r="D26" s="2" t="s">
        <v>96</v>
      </c>
      <c r="E26" s="2" t="s">
        <v>96</v>
      </c>
      <c r="F26" s="3" t="b">
        <f>TRUE()</f>
        <v>1</v>
      </c>
      <c r="G26" s="2" t="s">
        <v>117</v>
      </c>
      <c r="H26" s="2" t="str">
        <f t="shared" si="0"/>
        <v>gpt|threshold_small|66</v>
      </c>
    </row>
    <row r="27" spans="1:8" x14ac:dyDescent="0.2">
      <c r="A27" s="2" t="s">
        <v>8</v>
      </c>
      <c r="B27" s="2" t="s">
        <v>9</v>
      </c>
      <c r="C27" s="2">
        <v>67</v>
      </c>
      <c r="D27" s="2" t="s">
        <v>96</v>
      </c>
      <c r="E27" s="2" t="s">
        <v>96</v>
      </c>
      <c r="F27" s="3" t="b">
        <f>TRUE()</f>
        <v>1</v>
      </c>
      <c r="G27" s="2" t="s">
        <v>118</v>
      </c>
      <c r="H27" s="2" t="str">
        <f t="shared" si="0"/>
        <v>gpt|threshold_small|67</v>
      </c>
    </row>
    <row r="28" spans="1:8" x14ac:dyDescent="0.2">
      <c r="A28" s="2" t="s">
        <v>8</v>
      </c>
      <c r="B28" s="2" t="s">
        <v>9</v>
      </c>
      <c r="C28" s="2">
        <v>68</v>
      </c>
      <c r="D28" s="2" t="s">
        <v>96</v>
      </c>
      <c r="E28" s="2" t="s">
        <v>96</v>
      </c>
      <c r="F28" s="3" t="b">
        <f>TRUE()</f>
        <v>1</v>
      </c>
      <c r="G28" s="2" t="s">
        <v>119</v>
      </c>
      <c r="H28" s="2" t="str">
        <f t="shared" si="0"/>
        <v>gpt|threshold_small|68</v>
      </c>
    </row>
    <row r="29" spans="1:8" x14ac:dyDescent="0.2">
      <c r="A29" s="2" t="s">
        <v>27</v>
      </c>
      <c r="B29" s="2" t="s">
        <v>9</v>
      </c>
      <c r="C29" s="2">
        <v>1</v>
      </c>
      <c r="D29" s="2" t="s">
        <v>94</v>
      </c>
      <c r="E29" s="2" t="s">
        <v>28</v>
      </c>
      <c r="F29" s="4" t="b">
        <f>FALSE()</f>
        <v>0</v>
      </c>
      <c r="G29" s="2" t="s">
        <v>95</v>
      </c>
      <c r="H29" s="2" t="str">
        <f t="shared" si="0"/>
        <v>claude|threshold_small|1</v>
      </c>
    </row>
    <row r="30" spans="1:8" x14ac:dyDescent="0.2">
      <c r="A30" s="2" t="s">
        <v>27</v>
      </c>
      <c r="B30" s="2" t="s">
        <v>9</v>
      </c>
      <c r="C30" s="2">
        <v>11</v>
      </c>
      <c r="D30" s="2" t="s">
        <v>96</v>
      </c>
      <c r="E30" s="2" t="s">
        <v>28</v>
      </c>
      <c r="F30" s="4" t="b">
        <f>FALSE()</f>
        <v>0</v>
      </c>
      <c r="G30" s="2" t="s">
        <v>97</v>
      </c>
      <c r="H30" s="2" t="str">
        <f t="shared" si="0"/>
        <v>claude|threshold_small|11</v>
      </c>
    </row>
    <row r="31" spans="1:8" x14ac:dyDescent="0.2">
      <c r="A31" s="2" t="s">
        <v>27</v>
      </c>
      <c r="B31" s="2" t="s">
        <v>9</v>
      </c>
      <c r="C31" s="2">
        <v>12</v>
      </c>
      <c r="D31" s="2" t="s">
        <v>96</v>
      </c>
      <c r="E31" s="2" t="s">
        <v>28</v>
      </c>
      <c r="F31" s="4" t="b">
        <f>FALSE()</f>
        <v>0</v>
      </c>
      <c r="G31" s="2" t="s">
        <v>98</v>
      </c>
      <c r="H31" s="2" t="str">
        <f t="shared" si="0"/>
        <v>claude|threshold_small|12</v>
      </c>
    </row>
    <row r="32" spans="1:8" x14ac:dyDescent="0.2">
      <c r="A32" s="2" t="s">
        <v>27</v>
      </c>
      <c r="B32" s="2" t="s">
        <v>9</v>
      </c>
      <c r="C32" s="2">
        <v>13</v>
      </c>
      <c r="D32" s="2" t="s">
        <v>94</v>
      </c>
      <c r="E32" s="2" t="s">
        <v>28</v>
      </c>
      <c r="F32" s="4" t="b">
        <f>FALSE()</f>
        <v>0</v>
      </c>
      <c r="G32" s="2" t="s">
        <v>99</v>
      </c>
      <c r="H32" s="2" t="str">
        <f t="shared" si="0"/>
        <v>claude|threshold_small|13</v>
      </c>
    </row>
    <row r="33" spans="1:8" x14ac:dyDescent="0.2">
      <c r="A33" s="2" t="s">
        <v>27</v>
      </c>
      <c r="B33" s="2" t="s">
        <v>9</v>
      </c>
      <c r="C33" s="2">
        <v>14</v>
      </c>
      <c r="D33" s="2" t="s">
        <v>94</v>
      </c>
      <c r="E33" s="2" t="s">
        <v>28</v>
      </c>
      <c r="F33" s="4" t="b">
        <f>FALSE()</f>
        <v>0</v>
      </c>
      <c r="G33" s="2" t="s">
        <v>100</v>
      </c>
      <c r="H33" s="2" t="str">
        <f t="shared" si="0"/>
        <v>claude|threshold_small|14</v>
      </c>
    </row>
    <row r="34" spans="1:8" x14ac:dyDescent="0.2">
      <c r="A34" s="2" t="s">
        <v>27</v>
      </c>
      <c r="B34" s="2" t="s">
        <v>9</v>
      </c>
      <c r="C34" s="2">
        <v>15</v>
      </c>
      <c r="D34" s="2" t="s">
        <v>94</v>
      </c>
      <c r="E34" s="2" t="s">
        <v>28</v>
      </c>
      <c r="F34" s="4" t="b">
        <f>FALSE()</f>
        <v>0</v>
      </c>
      <c r="G34" s="2" t="s">
        <v>101</v>
      </c>
      <c r="H34" s="2" t="str">
        <f t="shared" si="0"/>
        <v>claude|threshold_small|15</v>
      </c>
    </row>
    <row r="35" spans="1:8" x14ac:dyDescent="0.2">
      <c r="A35" s="2" t="s">
        <v>27</v>
      </c>
      <c r="B35" s="2" t="s">
        <v>9</v>
      </c>
      <c r="C35" s="2">
        <v>16</v>
      </c>
      <c r="D35" s="2" t="s">
        <v>94</v>
      </c>
      <c r="E35" s="2" t="s">
        <v>28</v>
      </c>
      <c r="F35" s="4" t="b">
        <f>FALSE()</f>
        <v>0</v>
      </c>
      <c r="G35" s="2" t="s">
        <v>102</v>
      </c>
      <c r="H35" s="2" t="str">
        <f t="shared" si="0"/>
        <v>claude|threshold_small|16</v>
      </c>
    </row>
    <row r="36" spans="1:8" x14ac:dyDescent="0.2">
      <c r="A36" s="2" t="s">
        <v>27</v>
      </c>
      <c r="B36" s="2" t="s">
        <v>9</v>
      </c>
      <c r="C36" s="2">
        <v>17</v>
      </c>
      <c r="D36" s="2" t="s">
        <v>96</v>
      </c>
      <c r="E36" s="2" t="s">
        <v>28</v>
      </c>
      <c r="F36" s="4" t="b">
        <f>FALSE()</f>
        <v>0</v>
      </c>
      <c r="G36" s="2" t="s">
        <v>103</v>
      </c>
      <c r="H36" s="2" t="str">
        <f t="shared" si="0"/>
        <v>claude|threshold_small|17</v>
      </c>
    </row>
    <row r="37" spans="1:8" x14ac:dyDescent="0.2">
      <c r="A37" s="2" t="s">
        <v>27</v>
      </c>
      <c r="B37" s="2" t="s">
        <v>9</v>
      </c>
      <c r="C37" s="2">
        <v>18</v>
      </c>
      <c r="D37" s="2" t="s">
        <v>96</v>
      </c>
      <c r="E37" s="2" t="s">
        <v>28</v>
      </c>
      <c r="F37" s="4" t="b">
        <f>FALSE()</f>
        <v>0</v>
      </c>
      <c r="G37" s="2" t="s">
        <v>104</v>
      </c>
      <c r="H37" s="2" t="str">
        <f t="shared" si="0"/>
        <v>claude|threshold_small|18</v>
      </c>
    </row>
    <row r="38" spans="1:8" x14ac:dyDescent="0.2">
      <c r="A38" s="2" t="s">
        <v>27</v>
      </c>
      <c r="B38" s="2" t="s">
        <v>9</v>
      </c>
      <c r="C38" s="2">
        <v>19</v>
      </c>
      <c r="D38" s="2" t="s">
        <v>96</v>
      </c>
      <c r="E38" s="2" t="s">
        <v>28</v>
      </c>
      <c r="F38" s="4" t="b">
        <f>FALSE()</f>
        <v>0</v>
      </c>
      <c r="G38" s="2" t="s">
        <v>105</v>
      </c>
      <c r="H38" s="2" t="str">
        <f t="shared" si="0"/>
        <v>claude|threshold_small|19</v>
      </c>
    </row>
    <row r="39" spans="1:8" x14ac:dyDescent="0.2">
      <c r="A39" s="2" t="s">
        <v>27</v>
      </c>
      <c r="B39" s="2" t="s">
        <v>9</v>
      </c>
      <c r="C39" s="2">
        <v>20</v>
      </c>
      <c r="D39" s="2" t="s">
        <v>96</v>
      </c>
      <c r="E39" s="2" t="s">
        <v>28</v>
      </c>
      <c r="F39" s="4" t="b">
        <f>FALSE()</f>
        <v>0</v>
      </c>
      <c r="G39" s="2" t="s">
        <v>106</v>
      </c>
      <c r="H39" s="2" t="str">
        <f t="shared" si="0"/>
        <v>claude|threshold_small|20</v>
      </c>
    </row>
    <row r="40" spans="1:8" x14ac:dyDescent="0.2">
      <c r="A40" s="2" t="s">
        <v>27</v>
      </c>
      <c r="B40" s="2" t="s">
        <v>9</v>
      </c>
      <c r="C40" s="2">
        <v>21</v>
      </c>
      <c r="D40" s="2" t="s">
        <v>96</v>
      </c>
      <c r="E40" s="2" t="s">
        <v>28</v>
      </c>
      <c r="F40" s="4" t="b">
        <f>FALSE()</f>
        <v>0</v>
      </c>
      <c r="G40" s="2" t="s">
        <v>107</v>
      </c>
      <c r="H40" s="2" t="str">
        <f t="shared" si="0"/>
        <v>claude|threshold_small|21</v>
      </c>
    </row>
    <row r="41" spans="1:8" x14ac:dyDescent="0.2">
      <c r="A41" s="2" t="s">
        <v>27</v>
      </c>
      <c r="B41" s="2" t="s">
        <v>9</v>
      </c>
      <c r="C41" s="2">
        <v>22</v>
      </c>
      <c r="D41" s="2" t="s">
        <v>94</v>
      </c>
      <c r="E41" s="2" t="s">
        <v>28</v>
      </c>
      <c r="F41" s="4" t="b">
        <f>FALSE()</f>
        <v>0</v>
      </c>
      <c r="G41" s="2" t="s">
        <v>108</v>
      </c>
      <c r="H41" s="2" t="str">
        <f t="shared" si="0"/>
        <v>claude|threshold_small|22</v>
      </c>
    </row>
    <row r="42" spans="1:8" x14ac:dyDescent="0.2">
      <c r="A42" s="2" t="s">
        <v>27</v>
      </c>
      <c r="B42" s="2" t="s">
        <v>9</v>
      </c>
      <c r="C42" s="2">
        <v>31</v>
      </c>
      <c r="D42" s="2" t="s">
        <v>96</v>
      </c>
      <c r="E42" s="2" t="s">
        <v>28</v>
      </c>
      <c r="F42" s="4" t="b">
        <f>FALSE()</f>
        <v>0</v>
      </c>
      <c r="G42" s="2" t="s">
        <v>109</v>
      </c>
      <c r="H42" s="2" t="str">
        <f t="shared" si="0"/>
        <v>claude|threshold_small|31</v>
      </c>
    </row>
    <row r="43" spans="1:8" x14ac:dyDescent="0.2">
      <c r="A43" s="2" t="s">
        <v>27</v>
      </c>
      <c r="B43" s="2" t="s">
        <v>9</v>
      </c>
      <c r="C43" s="2">
        <v>32</v>
      </c>
      <c r="D43" s="2" t="s">
        <v>110</v>
      </c>
      <c r="E43" s="2" t="s">
        <v>28</v>
      </c>
      <c r="F43" s="4" t="b">
        <f>FALSE()</f>
        <v>0</v>
      </c>
      <c r="G43" s="2" t="s">
        <v>111</v>
      </c>
      <c r="H43" s="2" t="str">
        <f t="shared" si="0"/>
        <v>claude|threshold_small|32</v>
      </c>
    </row>
    <row r="44" spans="1:8" x14ac:dyDescent="0.2">
      <c r="A44" s="2" t="s">
        <v>27</v>
      </c>
      <c r="B44" s="2" t="s">
        <v>9</v>
      </c>
      <c r="C44" s="2">
        <v>41</v>
      </c>
      <c r="D44" s="2" t="s">
        <v>110</v>
      </c>
      <c r="E44" s="2" t="s">
        <v>28</v>
      </c>
      <c r="F44" s="4" t="b">
        <f>FALSE()</f>
        <v>0</v>
      </c>
      <c r="G44" s="2" t="s">
        <v>112</v>
      </c>
      <c r="H44" s="2" t="str">
        <f t="shared" si="0"/>
        <v>claude|threshold_small|41</v>
      </c>
    </row>
    <row r="45" spans="1:8" x14ac:dyDescent="0.2">
      <c r="A45" s="2" t="s">
        <v>27</v>
      </c>
      <c r="B45" s="2" t="s">
        <v>9</v>
      </c>
      <c r="C45" s="2">
        <v>42</v>
      </c>
      <c r="D45" s="2" t="s">
        <v>110</v>
      </c>
      <c r="E45" s="2" t="s">
        <v>28</v>
      </c>
      <c r="F45" s="4" t="b">
        <f>FALSE()</f>
        <v>0</v>
      </c>
      <c r="G45" s="2" t="s">
        <v>113</v>
      </c>
      <c r="H45" s="2" t="str">
        <f t="shared" si="0"/>
        <v>claude|threshold_small|42</v>
      </c>
    </row>
    <row r="46" spans="1:8" x14ac:dyDescent="0.2">
      <c r="A46" s="2" t="s">
        <v>27</v>
      </c>
      <c r="B46" s="2" t="s">
        <v>9</v>
      </c>
      <c r="C46" s="2">
        <v>51</v>
      </c>
      <c r="D46" s="2" t="s">
        <v>96</v>
      </c>
      <c r="E46" s="2" t="s">
        <v>28</v>
      </c>
      <c r="F46" s="4" t="b">
        <f>FALSE()</f>
        <v>0</v>
      </c>
      <c r="G46" s="2" t="s">
        <v>114</v>
      </c>
      <c r="H46" s="2" t="str">
        <f t="shared" si="0"/>
        <v>claude|threshold_small|51</v>
      </c>
    </row>
    <row r="47" spans="1:8" x14ac:dyDescent="0.2">
      <c r="A47" s="2" t="s">
        <v>27</v>
      </c>
      <c r="B47" s="2" t="s">
        <v>9</v>
      </c>
      <c r="C47" s="2">
        <v>52</v>
      </c>
      <c r="D47" s="2" t="s">
        <v>96</v>
      </c>
      <c r="E47" s="2" t="s">
        <v>28</v>
      </c>
      <c r="F47" s="4" t="b">
        <f>FALSE()</f>
        <v>0</v>
      </c>
      <c r="G47" s="2" t="s">
        <v>115</v>
      </c>
      <c r="H47" s="2" t="str">
        <f t="shared" si="0"/>
        <v>claude|threshold_small|52</v>
      </c>
    </row>
    <row r="48" spans="1:8" x14ac:dyDescent="0.2">
      <c r="A48" s="2" t="s">
        <v>27</v>
      </c>
      <c r="B48" s="2" t="s">
        <v>9</v>
      </c>
      <c r="C48" s="2">
        <v>61</v>
      </c>
      <c r="D48" s="2" t="s">
        <v>96</v>
      </c>
      <c r="E48" s="2" t="s">
        <v>28</v>
      </c>
      <c r="F48" s="4" t="b">
        <f>FALSE()</f>
        <v>0</v>
      </c>
      <c r="G48" s="2" t="s">
        <v>103</v>
      </c>
      <c r="H48" s="2" t="str">
        <f t="shared" si="0"/>
        <v>claude|threshold_small|61</v>
      </c>
    </row>
    <row r="49" spans="1:8" x14ac:dyDescent="0.2">
      <c r="A49" s="2" t="s">
        <v>27</v>
      </c>
      <c r="B49" s="2" t="s">
        <v>9</v>
      </c>
      <c r="C49" s="2">
        <v>62</v>
      </c>
      <c r="D49" s="2" t="s">
        <v>96</v>
      </c>
      <c r="E49" s="2" t="s">
        <v>28</v>
      </c>
      <c r="F49" s="4" t="b">
        <f>FALSE()</f>
        <v>0</v>
      </c>
      <c r="G49" s="2" t="s">
        <v>104</v>
      </c>
      <c r="H49" s="2" t="str">
        <f t="shared" si="0"/>
        <v>claude|threshold_small|62</v>
      </c>
    </row>
    <row r="50" spans="1:8" x14ac:dyDescent="0.2">
      <c r="A50" s="2" t="s">
        <v>27</v>
      </c>
      <c r="B50" s="2" t="s">
        <v>9</v>
      </c>
      <c r="C50" s="2">
        <v>63</v>
      </c>
      <c r="D50" s="2" t="s">
        <v>96</v>
      </c>
      <c r="E50" s="2" t="s">
        <v>28</v>
      </c>
      <c r="F50" s="4" t="b">
        <f>FALSE()</f>
        <v>0</v>
      </c>
      <c r="G50" s="2" t="s">
        <v>116</v>
      </c>
      <c r="H50" s="2" t="str">
        <f t="shared" si="0"/>
        <v>claude|threshold_small|63</v>
      </c>
    </row>
    <row r="51" spans="1:8" x14ac:dyDescent="0.2">
      <c r="A51" s="2" t="s">
        <v>27</v>
      </c>
      <c r="B51" s="2" t="s">
        <v>9</v>
      </c>
      <c r="C51" s="2">
        <v>64</v>
      </c>
      <c r="D51" s="2" t="s">
        <v>96</v>
      </c>
      <c r="E51" s="2" t="s">
        <v>28</v>
      </c>
      <c r="F51" s="4" t="b">
        <f>FALSE()</f>
        <v>0</v>
      </c>
      <c r="G51" s="2" t="s">
        <v>105</v>
      </c>
      <c r="H51" s="2" t="str">
        <f t="shared" si="0"/>
        <v>claude|threshold_small|64</v>
      </c>
    </row>
    <row r="52" spans="1:8" x14ac:dyDescent="0.2">
      <c r="A52" s="2" t="s">
        <v>27</v>
      </c>
      <c r="B52" s="2" t="s">
        <v>9</v>
      </c>
      <c r="C52" s="2">
        <v>65</v>
      </c>
      <c r="D52" s="2" t="s">
        <v>96</v>
      </c>
      <c r="E52" s="2" t="s">
        <v>28</v>
      </c>
      <c r="F52" s="4" t="b">
        <f>FALSE()</f>
        <v>0</v>
      </c>
      <c r="G52" s="2" t="s">
        <v>106</v>
      </c>
      <c r="H52" s="2" t="str">
        <f t="shared" si="0"/>
        <v>claude|threshold_small|65</v>
      </c>
    </row>
    <row r="53" spans="1:8" x14ac:dyDescent="0.2">
      <c r="A53" s="2" t="s">
        <v>27</v>
      </c>
      <c r="B53" s="2" t="s">
        <v>9</v>
      </c>
      <c r="C53" s="2">
        <v>66</v>
      </c>
      <c r="D53" s="2" t="s">
        <v>96</v>
      </c>
      <c r="E53" s="2" t="s">
        <v>28</v>
      </c>
      <c r="F53" s="4" t="b">
        <f>FALSE()</f>
        <v>0</v>
      </c>
      <c r="G53" s="2" t="s">
        <v>117</v>
      </c>
      <c r="H53" s="2" t="str">
        <f t="shared" si="0"/>
        <v>claude|threshold_small|66</v>
      </c>
    </row>
    <row r="54" spans="1:8" x14ac:dyDescent="0.2">
      <c r="A54" s="2" t="s">
        <v>27</v>
      </c>
      <c r="B54" s="2" t="s">
        <v>9</v>
      </c>
      <c r="C54" s="2">
        <v>67</v>
      </c>
      <c r="D54" s="2" t="s">
        <v>96</v>
      </c>
      <c r="E54" s="2" t="s">
        <v>28</v>
      </c>
      <c r="F54" s="4" t="b">
        <f>FALSE()</f>
        <v>0</v>
      </c>
      <c r="G54" s="2" t="s">
        <v>118</v>
      </c>
      <c r="H54" s="2" t="str">
        <f t="shared" si="0"/>
        <v>claude|threshold_small|67</v>
      </c>
    </row>
    <row r="55" spans="1:8" x14ac:dyDescent="0.2">
      <c r="A55" s="2" t="s">
        <v>27</v>
      </c>
      <c r="B55" s="2" t="s">
        <v>9</v>
      </c>
      <c r="C55" s="2">
        <v>68</v>
      </c>
      <c r="D55" s="2" t="s">
        <v>96</v>
      </c>
      <c r="E55" s="2" t="s">
        <v>28</v>
      </c>
      <c r="F55" s="4" t="b">
        <f>FALSE()</f>
        <v>0</v>
      </c>
      <c r="G55" s="2" t="s">
        <v>119</v>
      </c>
      <c r="H55" s="2" t="str">
        <f t="shared" si="0"/>
        <v>claude|threshold_small|68</v>
      </c>
    </row>
    <row r="56" spans="1:8" x14ac:dyDescent="0.2">
      <c r="A56" s="2" t="s">
        <v>29</v>
      </c>
      <c r="B56" s="2" t="s">
        <v>9</v>
      </c>
      <c r="C56" s="2">
        <v>1</v>
      </c>
      <c r="D56" s="2" t="s">
        <v>94</v>
      </c>
      <c r="E56" s="2" t="s">
        <v>94</v>
      </c>
      <c r="F56" s="3" t="b">
        <f>TRUE()</f>
        <v>1</v>
      </c>
      <c r="G56" s="2" t="s">
        <v>95</v>
      </c>
      <c r="H56" s="2" t="str">
        <f t="shared" si="0"/>
        <v>gemini|threshold_small|1</v>
      </c>
    </row>
    <row r="57" spans="1:8" x14ac:dyDescent="0.2">
      <c r="A57" s="2" t="s">
        <v>29</v>
      </c>
      <c r="B57" s="2" t="s">
        <v>9</v>
      </c>
      <c r="C57" s="2">
        <v>11</v>
      </c>
      <c r="D57" s="2" t="s">
        <v>96</v>
      </c>
      <c r="E57" s="2" t="s">
        <v>96</v>
      </c>
      <c r="F57" s="3" t="b">
        <f>TRUE()</f>
        <v>1</v>
      </c>
      <c r="G57" s="2" t="s">
        <v>97</v>
      </c>
      <c r="H57" s="2" t="str">
        <f t="shared" si="0"/>
        <v>gemini|threshold_small|11</v>
      </c>
    </row>
    <row r="58" spans="1:8" x14ac:dyDescent="0.2">
      <c r="A58" s="2" t="s">
        <v>29</v>
      </c>
      <c r="B58" s="2" t="s">
        <v>9</v>
      </c>
      <c r="C58" s="2">
        <v>12</v>
      </c>
      <c r="D58" s="2" t="s">
        <v>96</v>
      </c>
      <c r="E58" s="2" t="s">
        <v>96</v>
      </c>
      <c r="F58" s="3" t="b">
        <f>TRUE()</f>
        <v>1</v>
      </c>
      <c r="G58" s="2" t="s">
        <v>98</v>
      </c>
      <c r="H58" s="2" t="str">
        <f t="shared" si="0"/>
        <v>gemini|threshold_small|12</v>
      </c>
    </row>
    <row r="59" spans="1:8" x14ac:dyDescent="0.2">
      <c r="A59" s="2" t="s">
        <v>29</v>
      </c>
      <c r="B59" s="2" t="s">
        <v>9</v>
      </c>
      <c r="C59" s="2">
        <v>13</v>
      </c>
      <c r="D59" s="2" t="s">
        <v>94</v>
      </c>
      <c r="E59" s="2" t="s">
        <v>94</v>
      </c>
      <c r="F59" s="3" t="b">
        <f>TRUE()</f>
        <v>1</v>
      </c>
      <c r="G59" s="2" t="s">
        <v>99</v>
      </c>
      <c r="H59" s="2" t="str">
        <f t="shared" si="0"/>
        <v>gemini|threshold_small|13</v>
      </c>
    </row>
    <row r="60" spans="1:8" x14ac:dyDescent="0.2">
      <c r="A60" s="2" t="s">
        <v>29</v>
      </c>
      <c r="B60" s="2" t="s">
        <v>9</v>
      </c>
      <c r="C60" s="2">
        <v>14</v>
      </c>
      <c r="D60" s="2" t="s">
        <v>94</v>
      </c>
      <c r="E60" s="2" t="s">
        <v>94</v>
      </c>
      <c r="F60" s="3" t="b">
        <f>TRUE()</f>
        <v>1</v>
      </c>
      <c r="G60" s="2" t="s">
        <v>100</v>
      </c>
      <c r="H60" s="2" t="str">
        <f t="shared" si="0"/>
        <v>gemini|threshold_small|14</v>
      </c>
    </row>
    <row r="61" spans="1:8" x14ac:dyDescent="0.2">
      <c r="A61" s="2" t="s">
        <v>29</v>
      </c>
      <c r="B61" s="2" t="s">
        <v>9</v>
      </c>
      <c r="C61" s="2">
        <v>15</v>
      </c>
      <c r="D61" s="2" t="s">
        <v>94</v>
      </c>
      <c r="E61" s="2" t="s">
        <v>94</v>
      </c>
      <c r="F61" s="3" t="b">
        <f>TRUE()</f>
        <v>1</v>
      </c>
      <c r="G61" s="2" t="s">
        <v>101</v>
      </c>
      <c r="H61" s="2" t="str">
        <f t="shared" si="0"/>
        <v>gemini|threshold_small|15</v>
      </c>
    </row>
    <row r="62" spans="1:8" x14ac:dyDescent="0.2">
      <c r="A62" s="2" t="s">
        <v>29</v>
      </c>
      <c r="B62" s="2" t="s">
        <v>9</v>
      </c>
      <c r="C62" s="2">
        <v>16</v>
      </c>
      <c r="D62" s="2" t="s">
        <v>94</v>
      </c>
      <c r="E62" s="2" t="s">
        <v>94</v>
      </c>
      <c r="F62" s="3" t="b">
        <f>TRUE()</f>
        <v>1</v>
      </c>
      <c r="G62" s="2" t="s">
        <v>102</v>
      </c>
      <c r="H62" s="2" t="str">
        <f t="shared" si="0"/>
        <v>gemini|threshold_small|16</v>
      </c>
    </row>
    <row r="63" spans="1:8" x14ac:dyDescent="0.2">
      <c r="A63" s="2" t="s">
        <v>29</v>
      </c>
      <c r="B63" s="2" t="s">
        <v>9</v>
      </c>
      <c r="C63" s="2">
        <v>17</v>
      </c>
      <c r="D63" s="2" t="s">
        <v>96</v>
      </c>
      <c r="E63" s="2" t="s">
        <v>96</v>
      </c>
      <c r="F63" s="3" t="b">
        <f>TRUE()</f>
        <v>1</v>
      </c>
      <c r="G63" s="2" t="s">
        <v>103</v>
      </c>
      <c r="H63" s="2" t="str">
        <f t="shared" si="0"/>
        <v>gemini|threshold_small|17</v>
      </c>
    </row>
    <row r="64" spans="1:8" x14ac:dyDescent="0.2">
      <c r="A64" s="2" t="s">
        <v>29</v>
      </c>
      <c r="B64" s="2" t="s">
        <v>9</v>
      </c>
      <c r="C64" s="2">
        <v>18</v>
      </c>
      <c r="D64" s="2" t="s">
        <v>96</v>
      </c>
      <c r="E64" s="2" t="s">
        <v>94</v>
      </c>
      <c r="F64" s="4" t="b">
        <f>FALSE()</f>
        <v>0</v>
      </c>
      <c r="G64" s="2" t="s">
        <v>104</v>
      </c>
      <c r="H64" s="2" t="str">
        <f t="shared" si="0"/>
        <v>gemini|threshold_small|18</v>
      </c>
    </row>
    <row r="65" spans="1:8" x14ac:dyDescent="0.2">
      <c r="A65" s="2" t="s">
        <v>29</v>
      </c>
      <c r="B65" s="2" t="s">
        <v>9</v>
      </c>
      <c r="C65" s="2">
        <v>19</v>
      </c>
      <c r="D65" s="2" t="s">
        <v>96</v>
      </c>
      <c r="E65" s="2" t="s">
        <v>94</v>
      </c>
      <c r="F65" s="4" t="b">
        <f>FALSE()</f>
        <v>0</v>
      </c>
      <c r="G65" s="2" t="s">
        <v>105</v>
      </c>
      <c r="H65" s="2" t="str">
        <f t="shared" si="0"/>
        <v>gemini|threshold_small|19</v>
      </c>
    </row>
    <row r="66" spans="1:8" x14ac:dyDescent="0.2">
      <c r="A66" s="2" t="s">
        <v>29</v>
      </c>
      <c r="B66" s="2" t="s">
        <v>9</v>
      </c>
      <c r="C66" s="2">
        <v>20</v>
      </c>
      <c r="D66" s="2" t="s">
        <v>96</v>
      </c>
      <c r="E66" s="2" t="s">
        <v>96</v>
      </c>
      <c r="F66" s="3" t="b">
        <f>TRUE()</f>
        <v>1</v>
      </c>
      <c r="G66" s="2" t="s">
        <v>106</v>
      </c>
      <c r="H66" s="2" t="str">
        <f t="shared" ref="H66:H129" si="1">A66&amp;"|"&amp;B66&amp;"|"&amp;C66</f>
        <v>gemini|threshold_small|20</v>
      </c>
    </row>
    <row r="67" spans="1:8" x14ac:dyDescent="0.2">
      <c r="A67" s="2" t="s">
        <v>29</v>
      </c>
      <c r="B67" s="2" t="s">
        <v>9</v>
      </c>
      <c r="C67" s="2">
        <v>21</v>
      </c>
      <c r="D67" s="2" t="s">
        <v>96</v>
      </c>
      <c r="E67" s="2" t="s">
        <v>96</v>
      </c>
      <c r="F67" s="3" t="b">
        <f>TRUE()</f>
        <v>1</v>
      </c>
      <c r="G67" s="2" t="s">
        <v>107</v>
      </c>
      <c r="H67" s="2" t="str">
        <f t="shared" si="1"/>
        <v>gemini|threshold_small|21</v>
      </c>
    </row>
    <row r="68" spans="1:8" x14ac:dyDescent="0.2">
      <c r="A68" s="2" t="s">
        <v>29</v>
      </c>
      <c r="B68" s="2" t="s">
        <v>9</v>
      </c>
      <c r="C68" s="2">
        <v>22</v>
      </c>
      <c r="D68" s="2" t="s">
        <v>94</v>
      </c>
      <c r="E68" s="2" t="s">
        <v>94</v>
      </c>
      <c r="F68" s="3" t="b">
        <f>TRUE()</f>
        <v>1</v>
      </c>
      <c r="G68" s="2" t="s">
        <v>108</v>
      </c>
      <c r="H68" s="2" t="str">
        <f t="shared" si="1"/>
        <v>gemini|threshold_small|22</v>
      </c>
    </row>
    <row r="69" spans="1:8" x14ac:dyDescent="0.2">
      <c r="A69" s="2" t="s">
        <v>29</v>
      </c>
      <c r="B69" s="2" t="s">
        <v>9</v>
      </c>
      <c r="C69" s="2">
        <v>31</v>
      </c>
      <c r="D69" s="2" t="s">
        <v>96</v>
      </c>
      <c r="E69" s="2" t="s">
        <v>96</v>
      </c>
      <c r="F69" s="3" t="b">
        <f>TRUE()</f>
        <v>1</v>
      </c>
      <c r="G69" s="2" t="s">
        <v>109</v>
      </c>
      <c r="H69" s="2" t="str">
        <f t="shared" si="1"/>
        <v>gemini|threshold_small|31</v>
      </c>
    </row>
    <row r="70" spans="1:8" x14ac:dyDescent="0.2">
      <c r="A70" s="2" t="s">
        <v>29</v>
      </c>
      <c r="B70" s="2" t="s">
        <v>9</v>
      </c>
      <c r="C70" s="2">
        <v>32</v>
      </c>
      <c r="D70" s="2" t="s">
        <v>110</v>
      </c>
      <c r="E70" s="2" t="s">
        <v>110</v>
      </c>
      <c r="F70" s="3" t="b">
        <f>TRUE()</f>
        <v>1</v>
      </c>
      <c r="G70" s="2" t="s">
        <v>111</v>
      </c>
      <c r="H70" s="2" t="str">
        <f t="shared" si="1"/>
        <v>gemini|threshold_small|32</v>
      </c>
    </row>
    <row r="71" spans="1:8" x14ac:dyDescent="0.2">
      <c r="A71" s="2" t="s">
        <v>29</v>
      </c>
      <c r="B71" s="2" t="s">
        <v>9</v>
      </c>
      <c r="C71" s="2">
        <v>41</v>
      </c>
      <c r="D71" s="2" t="s">
        <v>110</v>
      </c>
      <c r="E71" s="2" t="s">
        <v>110</v>
      </c>
      <c r="F71" s="3" t="b">
        <f>TRUE()</f>
        <v>1</v>
      </c>
      <c r="G71" s="2" t="s">
        <v>112</v>
      </c>
      <c r="H71" s="2" t="str">
        <f t="shared" si="1"/>
        <v>gemini|threshold_small|41</v>
      </c>
    </row>
    <row r="72" spans="1:8" x14ac:dyDescent="0.2">
      <c r="A72" s="2" t="s">
        <v>29</v>
      </c>
      <c r="B72" s="2" t="s">
        <v>9</v>
      </c>
      <c r="C72" s="2">
        <v>42</v>
      </c>
      <c r="D72" s="2" t="s">
        <v>110</v>
      </c>
      <c r="E72" s="2" t="s">
        <v>110</v>
      </c>
      <c r="F72" s="3" t="b">
        <f>TRUE()</f>
        <v>1</v>
      </c>
      <c r="G72" s="2" t="s">
        <v>113</v>
      </c>
      <c r="H72" s="2" t="str">
        <f t="shared" si="1"/>
        <v>gemini|threshold_small|42</v>
      </c>
    </row>
    <row r="73" spans="1:8" x14ac:dyDescent="0.2">
      <c r="A73" s="2" t="s">
        <v>29</v>
      </c>
      <c r="B73" s="2" t="s">
        <v>9</v>
      </c>
      <c r="C73" s="2">
        <v>51</v>
      </c>
      <c r="D73" s="2" t="s">
        <v>96</v>
      </c>
      <c r="E73" s="2" t="s">
        <v>96</v>
      </c>
      <c r="F73" s="3" t="b">
        <f>TRUE()</f>
        <v>1</v>
      </c>
      <c r="G73" s="2" t="s">
        <v>114</v>
      </c>
      <c r="H73" s="2" t="str">
        <f t="shared" si="1"/>
        <v>gemini|threshold_small|51</v>
      </c>
    </row>
    <row r="74" spans="1:8" x14ac:dyDescent="0.2">
      <c r="A74" s="2" t="s">
        <v>29</v>
      </c>
      <c r="B74" s="2" t="s">
        <v>9</v>
      </c>
      <c r="C74" s="2">
        <v>52</v>
      </c>
      <c r="D74" s="2" t="s">
        <v>96</v>
      </c>
      <c r="E74" s="2" t="s">
        <v>96</v>
      </c>
      <c r="F74" s="3" t="b">
        <f>TRUE()</f>
        <v>1</v>
      </c>
      <c r="G74" s="2" t="s">
        <v>115</v>
      </c>
      <c r="H74" s="2" t="str">
        <f t="shared" si="1"/>
        <v>gemini|threshold_small|52</v>
      </c>
    </row>
    <row r="75" spans="1:8" x14ac:dyDescent="0.2">
      <c r="A75" s="2" t="s">
        <v>29</v>
      </c>
      <c r="B75" s="2" t="s">
        <v>9</v>
      </c>
      <c r="C75" s="2">
        <v>61</v>
      </c>
      <c r="D75" s="2" t="s">
        <v>96</v>
      </c>
      <c r="E75" s="2" t="s">
        <v>96</v>
      </c>
      <c r="F75" s="3" t="b">
        <f>TRUE()</f>
        <v>1</v>
      </c>
      <c r="G75" s="2" t="s">
        <v>103</v>
      </c>
      <c r="H75" s="2" t="str">
        <f t="shared" si="1"/>
        <v>gemini|threshold_small|61</v>
      </c>
    </row>
    <row r="76" spans="1:8" x14ac:dyDescent="0.2">
      <c r="A76" s="2" t="s">
        <v>29</v>
      </c>
      <c r="B76" s="2" t="s">
        <v>9</v>
      </c>
      <c r="C76" s="2">
        <v>62</v>
      </c>
      <c r="D76" s="2" t="s">
        <v>96</v>
      </c>
      <c r="E76" s="2" t="s">
        <v>94</v>
      </c>
      <c r="F76" s="4" t="b">
        <f>FALSE()</f>
        <v>0</v>
      </c>
      <c r="G76" s="2" t="s">
        <v>104</v>
      </c>
      <c r="H76" s="2" t="str">
        <f t="shared" si="1"/>
        <v>gemini|threshold_small|62</v>
      </c>
    </row>
    <row r="77" spans="1:8" x14ac:dyDescent="0.2">
      <c r="A77" s="2" t="s">
        <v>29</v>
      </c>
      <c r="B77" s="2" t="s">
        <v>9</v>
      </c>
      <c r="C77" s="2">
        <v>63</v>
      </c>
      <c r="D77" s="2" t="s">
        <v>96</v>
      </c>
      <c r="E77" s="2" t="s">
        <v>96</v>
      </c>
      <c r="F77" s="3" t="b">
        <f>TRUE()</f>
        <v>1</v>
      </c>
      <c r="G77" s="2" t="s">
        <v>116</v>
      </c>
      <c r="H77" s="2" t="str">
        <f t="shared" si="1"/>
        <v>gemini|threshold_small|63</v>
      </c>
    </row>
    <row r="78" spans="1:8" x14ac:dyDescent="0.2">
      <c r="A78" s="2" t="s">
        <v>29</v>
      </c>
      <c r="B78" s="2" t="s">
        <v>9</v>
      </c>
      <c r="C78" s="2">
        <v>64</v>
      </c>
      <c r="D78" s="2" t="s">
        <v>96</v>
      </c>
      <c r="E78" s="2" t="s">
        <v>94</v>
      </c>
      <c r="F78" s="4" t="b">
        <f>FALSE()</f>
        <v>0</v>
      </c>
      <c r="G78" s="2" t="s">
        <v>105</v>
      </c>
      <c r="H78" s="2" t="str">
        <f t="shared" si="1"/>
        <v>gemini|threshold_small|64</v>
      </c>
    </row>
    <row r="79" spans="1:8" x14ac:dyDescent="0.2">
      <c r="A79" s="2" t="s">
        <v>29</v>
      </c>
      <c r="B79" s="2" t="s">
        <v>9</v>
      </c>
      <c r="C79" s="2">
        <v>65</v>
      </c>
      <c r="D79" s="2" t="s">
        <v>96</v>
      </c>
      <c r="E79" s="2" t="s">
        <v>96</v>
      </c>
      <c r="F79" s="3" t="b">
        <f>TRUE()</f>
        <v>1</v>
      </c>
      <c r="G79" s="2" t="s">
        <v>106</v>
      </c>
      <c r="H79" s="2" t="str">
        <f t="shared" si="1"/>
        <v>gemini|threshold_small|65</v>
      </c>
    </row>
    <row r="80" spans="1:8" x14ac:dyDescent="0.2">
      <c r="A80" s="2" t="s">
        <v>29</v>
      </c>
      <c r="B80" s="2" t="s">
        <v>9</v>
      </c>
      <c r="C80" s="2">
        <v>66</v>
      </c>
      <c r="D80" s="2" t="s">
        <v>96</v>
      </c>
      <c r="E80" s="2" t="s">
        <v>96</v>
      </c>
      <c r="F80" s="3" t="b">
        <f>TRUE()</f>
        <v>1</v>
      </c>
      <c r="G80" s="2" t="s">
        <v>117</v>
      </c>
      <c r="H80" s="2" t="str">
        <f t="shared" si="1"/>
        <v>gemini|threshold_small|66</v>
      </c>
    </row>
    <row r="81" spans="1:8" x14ac:dyDescent="0.2">
      <c r="A81" s="2" t="s">
        <v>29</v>
      </c>
      <c r="B81" s="2" t="s">
        <v>9</v>
      </c>
      <c r="C81" s="2">
        <v>67</v>
      </c>
      <c r="D81" s="2" t="s">
        <v>96</v>
      </c>
      <c r="E81" s="2" t="s">
        <v>96</v>
      </c>
      <c r="F81" s="3" t="b">
        <f>TRUE()</f>
        <v>1</v>
      </c>
      <c r="G81" s="2" t="s">
        <v>118</v>
      </c>
      <c r="H81" s="2" t="str">
        <f t="shared" si="1"/>
        <v>gemini|threshold_small|67</v>
      </c>
    </row>
    <row r="82" spans="1:8" x14ac:dyDescent="0.2">
      <c r="A82" s="2" t="s">
        <v>29</v>
      </c>
      <c r="B82" s="2" t="s">
        <v>9</v>
      </c>
      <c r="C82" s="2">
        <v>68</v>
      </c>
      <c r="D82" s="2" t="s">
        <v>96</v>
      </c>
      <c r="E82" s="2" t="s">
        <v>110</v>
      </c>
      <c r="F82" s="4" t="b">
        <f>FALSE()</f>
        <v>0</v>
      </c>
      <c r="G82" s="2" t="s">
        <v>119</v>
      </c>
      <c r="H82" s="2" t="str">
        <f t="shared" si="1"/>
        <v>gemini|threshold_small|68</v>
      </c>
    </row>
    <row r="83" spans="1:8" x14ac:dyDescent="0.2">
      <c r="A83" s="2" t="s">
        <v>30</v>
      </c>
      <c r="B83" s="2" t="s">
        <v>9</v>
      </c>
      <c r="C83" s="2">
        <v>1</v>
      </c>
      <c r="D83" s="2" t="s">
        <v>94</v>
      </c>
      <c r="E83" s="2" t="s">
        <v>28</v>
      </c>
      <c r="F83" s="4" t="b">
        <f>FALSE()</f>
        <v>0</v>
      </c>
      <c r="G83" s="2" t="s">
        <v>95</v>
      </c>
      <c r="H83" s="2" t="str">
        <f t="shared" si="1"/>
        <v>llama|threshold_small|1</v>
      </c>
    </row>
    <row r="84" spans="1:8" x14ac:dyDescent="0.2">
      <c r="A84" s="2" t="s">
        <v>30</v>
      </c>
      <c r="B84" s="2" t="s">
        <v>9</v>
      </c>
      <c r="C84" s="2">
        <v>11</v>
      </c>
      <c r="D84" s="2" t="s">
        <v>96</v>
      </c>
      <c r="E84" s="2" t="s">
        <v>28</v>
      </c>
      <c r="F84" s="4" t="b">
        <f>FALSE()</f>
        <v>0</v>
      </c>
      <c r="G84" s="2" t="s">
        <v>97</v>
      </c>
      <c r="H84" s="2" t="str">
        <f t="shared" si="1"/>
        <v>llama|threshold_small|11</v>
      </c>
    </row>
    <row r="85" spans="1:8" x14ac:dyDescent="0.2">
      <c r="A85" s="2" t="s">
        <v>30</v>
      </c>
      <c r="B85" s="2" t="s">
        <v>9</v>
      </c>
      <c r="C85" s="2">
        <v>12</v>
      </c>
      <c r="D85" s="2" t="s">
        <v>96</v>
      </c>
      <c r="E85" s="2" t="s">
        <v>28</v>
      </c>
      <c r="F85" s="4" t="b">
        <f>FALSE()</f>
        <v>0</v>
      </c>
      <c r="G85" s="2" t="s">
        <v>98</v>
      </c>
      <c r="H85" s="2" t="str">
        <f t="shared" si="1"/>
        <v>llama|threshold_small|12</v>
      </c>
    </row>
    <row r="86" spans="1:8" x14ac:dyDescent="0.2">
      <c r="A86" s="2" t="s">
        <v>30</v>
      </c>
      <c r="B86" s="2" t="s">
        <v>9</v>
      </c>
      <c r="C86" s="2">
        <v>13</v>
      </c>
      <c r="D86" s="2" t="s">
        <v>94</v>
      </c>
      <c r="E86" s="2" t="s">
        <v>28</v>
      </c>
      <c r="F86" s="4" t="b">
        <f>FALSE()</f>
        <v>0</v>
      </c>
      <c r="G86" s="2" t="s">
        <v>99</v>
      </c>
      <c r="H86" s="2" t="str">
        <f t="shared" si="1"/>
        <v>llama|threshold_small|13</v>
      </c>
    </row>
    <row r="87" spans="1:8" x14ac:dyDescent="0.2">
      <c r="A87" s="2" t="s">
        <v>30</v>
      </c>
      <c r="B87" s="2" t="s">
        <v>9</v>
      </c>
      <c r="C87" s="2">
        <v>14</v>
      </c>
      <c r="D87" s="2" t="s">
        <v>94</v>
      </c>
      <c r="E87" s="2" t="s">
        <v>28</v>
      </c>
      <c r="F87" s="4" t="b">
        <f>FALSE()</f>
        <v>0</v>
      </c>
      <c r="G87" s="2" t="s">
        <v>100</v>
      </c>
      <c r="H87" s="2" t="str">
        <f t="shared" si="1"/>
        <v>llama|threshold_small|14</v>
      </c>
    </row>
    <row r="88" spans="1:8" x14ac:dyDescent="0.2">
      <c r="A88" s="2" t="s">
        <v>30</v>
      </c>
      <c r="B88" s="2" t="s">
        <v>9</v>
      </c>
      <c r="C88" s="2">
        <v>15</v>
      </c>
      <c r="D88" s="2" t="s">
        <v>94</v>
      </c>
      <c r="E88" s="2" t="s">
        <v>28</v>
      </c>
      <c r="F88" s="4" t="b">
        <f>FALSE()</f>
        <v>0</v>
      </c>
      <c r="G88" s="2" t="s">
        <v>101</v>
      </c>
      <c r="H88" s="2" t="str">
        <f t="shared" si="1"/>
        <v>llama|threshold_small|15</v>
      </c>
    </row>
    <row r="89" spans="1:8" x14ac:dyDescent="0.2">
      <c r="A89" s="2" t="s">
        <v>30</v>
      </c>
      <c r="B89" s="2" t="s">
        <v>9</v>
      </c>
      <c r="C89" s="2">
        <v>16</v>
      </c>
      <c r="D89" s="2" t="s">
        <v>94</v>
      </c>
      <c r="E89" s="2" t="s">
        <v>28</v>
      </c>
      <c r="F89" s="4" t="b">
        <f>FALSE()</f>
        <v>0</v>
      </c>
      <c r="G89" s="2" t="s">
        <v>102</v>
      </c>
      <c r="H89" s="2" t="str">
        <f t="shared" si="1"/>
        <v>llama|threshold_small|16</v>
      </c>
    </row>
    <row r="90" spans="1:8" x14ac:dyDescent="0.2">
      <c r="A90" s="2" t="s">
        <v>30</v>
      </c>
      <c r="B90" s="2" t="s">
        <v>9</v>
      </c>
      <c r="C90" s="2">
        <v>17</v>
      </c>
      <c r="D90" s="2" t="s">
        <v>96</v>
      </c>
      <c r="E90" s="2" t="s">
        <v>28</v>
      </c>
      <c r="F90" s="4" t="b">
        <f>FALSE()</f>
        <v>0</v>
      </c>
      <c r="G90" s="2" t="s">
        <v>103</v>
      </c>
      <c r="H90" s="2" t="str">
        <f t="shared" si="1"/>
        <v>llama|threshold_small|17</v>
      </c>
    </row>
    <row r="91" spans="1:8" x14ac:dyDescent="0.2">
      <c r="A91" s="2" t="s">
        <v>30</v>
      </c>
      <c r="B91" s="2" t="s">
        <v>9</v>
      </c>
      <c r="C91" s="2">
        <v>18</v>
      </c>
      <c r="D91" s="2" t="s">
        <v>96</v>
      </c>
      <c r="E91" s="2" t="s">
        <v>28</v>
      </c>
      <c r="F91" s="4" t="b">
        <f>FALSE()</f>
        <v>0</v>
      </c>
      <c r="G91" s="2" t="s">
        <v>104</v>
      </c>
      <c r="H91" s="2" t="str">
        <f t="shared" si="1"/>
        <v>llama|threshold_small|18</v>
      </c>
    </row>
    <row r="92" spans="1:8" x14ac:dyDescent="0.2">
      <c r="A92" s="2" t="s">
        <v>30</v>
      </c>
      <c r="B92" s="2" t="s">
        <v>9</v>
      </c>
      <c r="C92" s="2">
        <v>19</v>
      </c>
      <c r="D92" s="2" t="s">
        <v>96</v>
      </c>
      <c r="E92" s="2" t="s">
        <v>28</v>
      </c>
      <c r="F92" s="4" t="b">
        <f>FALSE()</f>
        <v>0</v>
      </c>
      <c r="G92" s="2" t="s">
        <v>105</v>
      </c>
      <c r="H92" s="2" t="str">
        <f t="shared" si="1"/>
        <v>llama|threshold_small|19</v>
      </c>
    </row>
    <row r="93" spans="1:8" x14ac:dyDescent="0.2">
      <c r="A93" s="2" t="s">
        <v>30</v>
      </c>
      <c r="B93" s="2" t="s">
        <v>9</v>
      </c>
      <c r="C93" s="2">
        <v>20</v>
      </c>
      <c r="D93" s="2" t="s">
        <v>96</v>
      </c>
      <c r="E93" s="2" t="s">
        <v>28</v>
      </c>
      <c r="F93" s="4" t="b">
        <f>FALSE()</f>
        <v>0</v>
      </c>
      <c r="G93" s="2" t="s">
        <v>106</v>
      </c>
      <c r="H93" s="2" t="str">
        <f t="shared" si="1"/>
        <v>llama|threshold_small|20</v>
      </c>
    </row>
    <row r="94" spans="1:8" x14ac:dyDescent="0.2">
      <c r="A94" s="2" t="s">
        <v>30</v>
      </c>
      <c r="B94" s="2" t="s">
        <v>9</v>
      </c>
      <c r="C94" s="2">
        <v>21</v>
      </c>
      <c r="D94" s="2" t="s">
        <v>96</v>
      </c>
      <c r="E94" s="2" t="s">
        <v>28</v>
      </c>
      <c r="F94" s="4" t="b">
        <f>FALSE()</f>
        <v>0</v>
      </c>
      <c r="G94" s="2" t="s">
        <v>107</v>
      </c>
      <c r="H94" s="2" t="str">
        <f t="shared" si="1"/>
        <v>llama|threshold_small|21</v>
      </c>
    </row>
    <row r="95" spans="1:8" x14ac:dyDescent="0.2">
      <c r="A95" s="2" t="s">
        <v>30</v>
      </c>
      <c r="B95" s="2" t="s">
        <v>9</v>
      </c>
      <c r="C95" s="2">
        <v>22</v>
      </c>
      <c r="D95" s="2" t="s">
        <v>94</v>
      </c>
      <c r="E95" s="2" t="s">
        <v>28</v>
      </c>
      <c r="F95" s="4" t="b">
        <f>FALSE()</f>
        <v>0</v>
      </c>
      <c r="G95" s="2" t="s">
        <v>108</v>
      </c>
      <c r="H95" s="2" t="str">
        <f t="shared" si="1"/>
        <v>llama|threshold_small|22</v>
      </c>
    </row>
    <row r="96" spans="1:8" x14ac:dyDescent="0.2">
      <c r="A96" s="2" t="s">
        <v>30</v>
      </c>
      <c r="B96" s="2" t="s">
        <v>9</v>
      </c>
      <c r="C96" s="2">
        <v>31</v>
      </c>
      <c r="D96" s="2" t="s">
        <v>96</v>
      </c>
      <c r="E96" s="2" t="s">
        <v>28</v>
      </c>
      <c r="F96" s="4" t="b">
        <f>FALSE()</f>
        <v>0</v>
      </c>
      <c r="G96" s="2" t="s">
        <v>109</v>
      </c>
      <c r="H96" s="2" t="str">
        <f t="shared" si="1"/>
        <v>llama|threshold_small|31</v>
      </c>
    </row>
    <row r="97" spans="1:8" x14ac:dyDescent="0.2">
      <c r="A97" s="2" t="s">
        <v>30</v>
      </c>
      <c r="B97" s="2" t="s">
        <v>9</v>
      </c>
      <c r="C97" s="2">
        <v>32</v>
      </c>
      <c r="D97" s="2" t="s">
        <v>110</v>
      </c>
      <c r="E97" s="2" t="s">
        <v>28</v>
      </c>
      <c r="F97" s="4" t="b">
        <f>FALSE()</f>
        <v>0</v>
      </c>
      <c r="G97" s="2" t="s">
        <v>111</v>
      </c>
      <c r="H97" s="2" t="str">
        <f t="shared" si="1"/>
        <v>llama|threshold_small|32</v>
      </c>
    </row>
    <row r="98" spans="1:8" x14ac:dyDescent="0.2">
      <c r="A98" s="2" t="s">
        <v>30</v>
      </c>
      <c r="B98" s="2" t="s">
        <v>9</v>
      </c>
      <c r="C98" s="2">
        <v>41</v>
      </c>
      <c r="D98" s="2" t="s">
        <v>110</v>
      </c>
      <c r="E98" s="2" t="s">
        <v>28</v>
      </c>
      <c r="F98" s="4" t="b">
        <f>FALSE()</f>
        <v>0</v>
      </c>
      <c r="G98" s="2" t="s">
        <v>112</v>
      </c>
      <c r="H98" s="2" t="str">
        <f t="shared" si="1"/>
        <v>llama|threshold_small|41</v>
      </c>
    </row>
    <row r="99" spans="1:8" x14ac:dyDescent="0.2">
      <c r="A99" s="2" t="s">
        <v>30</v>
      </c>
      <c r="B99" s="2" t="s">
        <v>9</v>
      </c>
      <c r="C99" s="2">
        <v>42</v>
      </c>
      <c r="D99" s="2" t="s">
        <v>110</v>
      </c>
      <c r="E99" s="2" t="s">
        <v>28</v>
      </c>
      <c r="F99" s="4" t="b">
        <f>FALSE()</f>
        <v>0</v>
      </c>
      <c r="G99" s="2" t="s">
        <v>113</v>
      </c>
      <c r="H99" s="2" t="str">
        <f t="shared" si="1"/>
        <v>llama|threshold_small|42</v>
      </c>
    </row>
    <row r="100" spans="1:8" x14ac:dyDescent="0.2">
      <c r="A100" s="2" t="s">
        <v>30</v>
      </c>
      <c r="B100" s="2" t="s">
        <v>9</v>
      </c>
      <c r="C100" s="2">
        <v>51</v>
      </c>
      <c r="D100" s="2" t="s">
        <v>96</v>
      </c>
      <c r="E100" s="2" t="s">
        <v>28</v>
      </c>
      <c r="F100" s="4" t="b">
        <f>FALSE()</f>
        <v>0</v>
      </c>
      <c r="G100" s="2" t="s">
        <v>114</v>
      </c>
      <c r="H100" s="2" t="str">
        <f t="shared" si="1"/>
        <v>llama|threshold_small|51</v>
      </c>
    </row>
    <row r="101" spans="1:8" x14ac:dyDescent="0.2">
      <c r="A101" s="2" t="s">
        <v>30</v>
      </c>
      <c r="B101" s="2" t="s">
        <v>9</v>
      </c>
      <c r="C101" s="2">
        <v>52</v>
      </c>
      <c r="D101" s="2" t="s">
        <v>96</v>
      </c>
      <c r="E101" s="2" t="s">
        <v>28</v>
      </c>
      <c r="F101" s="4" t="b">
        <f>FALSE()</f>
        <v>0</v>
      </c>
      <c r="G101" s="2" t="s">
        <v>115</v>
      </c>
      <c r="H101" s="2" t="str">
        <f t="shared" si="1"/>
        <v>llama|threshold_small|52</v>
      </c>
    </row>
    <row r="102" spans="1:8" x14ac:dyDescent="0.2">
      <c r="A102" s="2" t="s">
        <v>30</v>
      </c>
      <c r="B102" s="2" t="s">
        <v>9</v>
      </c>
      <c r="C102" s="2">
        <v>61</v>
      </c>
      <c r="D102" s="2" t="s">
        <v>96</v>
      </c>
      <c r="E102" s="2" t="s">
        <v>28</v>
      </c>
      <c r="F102" s="4" t="b">
        <f>FALSE()</f>
        <v>0</v>
      </c>
      <c r="G102" s="2" t="s">
        <v>103</v>
      </c>
      <c r="H102" s="2" t="str">
        <f t="shared" si="1"/>
        <v>llama|threshold_small|61</v>
      </c>
    </row>
    <row r="103" spans="1:8" x14ac:dyDescent="0.2">
      <c r="A103" s="2" t="s">
        <v>30</v>
      </c>
      <c r="B103" s="2" t="s">
        <v>9</v>
      </c>
      <c r="C103" s="2">
        <v>62</v>
      </c>
      <c r="D103" s="2" t="s">
        <v>96</v>
      </c>
      <c r="E103" s="2" t="s">
        <v>28</v>
      </c>
      <c r="F103" s="4" t="b">
        <f>FALSE()</f>
        <v>0</v>
      </c>
      <c r="G103" s="2" t="s">
        <v>104</v>
      </c>
      <c r="H103" s="2" t="str">
        <f t="shared" si="1"/>
        <v>llama|threshold_small|62</v>
      </c>
    </row>
    <row r="104" spans="1:8" x14ac:dyDescent="0.2">
      <c r="A104" s="2" t="s">
        <v>30</v>
      </c>
      <c r="B104" s="2" t="s">
        <v>9</v>
      </c>
      <c r="C104" s="2">
        <v>63</v>
      </c>
      <c r="D104" s="2" t="s">
        <v>96</v>
      </c>
      <c r="E104" s="2" t="s">
        <v>28</v>
      </c>
      <c r="F104" s="4" t="b">
        <f>FALSE()</f>
        <v>0</v>
      </c>
      <c r="G104" s="2" t="s">
        <v>116</v>
      </c>
      <c r="H104" s="2" t="str">
        <f t="shared" si="1"/>
        <v>llama|threshold_small|63</v>
      </c>
    </row>
    <row r="105" spans="1:8" x14ac:dyDescent="0.2">
      <c r="A105" s="2" t="s">
        <v>30</v>
      </c>
      <c r="B105" s="2" t="s">
        <v>9</v>
      </c>
      <c r="C105" s="2">
        <v>64</v>
      </c>
      <c r="D105" s="2" t="s">
        <v>96</v>
      </c>
      <c r="E105" s="2" t="s">
        <v>28</v>
      </c>
      <c r="F105" s="4" t="b">
        <f>FALSE()</f>
        <v>0</v>
      </c>
      <c r="G105" s="2" t="s">
        <v>105</v>
      </c>
      <c r="H105" s="2" t="str">
        <f t="shared" si="1"/>
        <v>llama|threshold_small|64</v>
      </c>
    </row>
    <row r="106" spans="1:8" x14ac:dyDescent="0.2">
      <c r="A106" s="2" t="s">
        <v>30</v>
      </c>
      <c r="B106" s="2" t="s">
        <v>9</v>
      </c>
      <c r="C106" s="2">
        <v>65</v>
      </c>
      <c r="D106" s="2" t="s">
        <v>96</v>
      </c>
      <c r="E106" s="2" t="s">
        <v>28</v>
      </c>
      <c r="F106" s="4" t="b">
        <f>FALSE()</f>
        <v>0</v>
      </c>
      <c r="G106" s="2" t="s">
        <v>106</v>
      </c>
      <c r="H106" s="2" t="str">
        <f t="shared" si="1"/>
        <v>llama|threshold_small|65</v>
      </c>
    </row>
    <row r="107" spans="1:8" x14ac:dyDescent="0.2">
      <c r="A107" s="2" t="s">
        <v>30</v>
      </c>
      <c r="B107" s="2" t="s">
        <v>9</v>
      </c>
      <c r="C107" s="2">
        <v>66</v>
      </c>
      <c r="D107" s="2" t="s">
        <v>96</v>
      </c>
      <c r="E107" s="2" t="s">
        <v>28</v>
      </c>
      <c r="F107" s="4" t="b">
        <f>FALSE()</f>
        <v>0</v>
      </c>
      <c r="G107" s="2" t="s">
        <v>117</v>
      </c>
      <c r="H107" s="2" t="str">
        <f t="shared" si="1"/>
        <v>llama|threshold_small|66</v>
      </c>
    </row>
    <row r="108" spans="1:8" x14ac:dyDescent="0.2">
      <c r="A108" s="2" t="s">
        <v>30</v>
      </c>
      <c r="B108" s="2" t="s">
        <v>9</v>
      </c>
      <c r="C108" s="2">
        <v>67</v>
      </c>
      <c r="D108" s="2" t="s">
        <v>96</v>
      </c>
      <c r="E108" s="2" t="s">
        <v>28</v>
      </c>
      <c r="F108" s="4" t="b">
        <f>FALSE()</f>
        <v>0</v>
      </c>
      <c r="G108" s="2" t="s">
        <v>118</v>
      </c>
      <c r="H108" s="2" t="str">
        <f t="shared" si="1"/>
        <v>llama|threshold_small|67</v>
      </c>
    </row>
    <row r="109" spans="1:8" x14ac:dyDescent="0.2">
      <c r="A109" s="2" t="s">
        <v>30</v>
      </c>
      <c r="B109" s="2" t="s">
        <v>9</v>
      </c>
      <c r="C109" s="2">
        <v>68</v>
      </c>
      <c r="D109" s="2" t="s">
        <v>96</v>
      </c>
      <c r="E109" s="2" t="s">
        <v>28</v>
      </c>
      <c r="F109" s="4" t="b">
        <f>FALSE()</f>
        <v>0</v>
      </c>
      <c r="G109" s="2" t="s">
        <v>119</v>
      </c>
      <c r="H109" s="2" t="str">
        <f t="shared" si="1"/>
        <v>llama|threshold_small|68</v>
      </c>
    </row>
    <row r="110" spans="1:8" x14ac:dyDescent="0.2">
      <c r="A110" s="2" t="s">
        <v>8</v>
      </c>
      <c r="B110" s="2" t="s">
        <v>31</v>
      </c>
      <c r="C110" s="2">
        <v>1</v>
      </c>
      <c r="D110" s="2" t="s">
        <v>94</v>
      </c>
      <c r="E110" s="2" t="s">
        <v>94</v>
      </c>
      <c r="F110" s="3" t="b">
        <f>TRUE()</f>
        <v>1</v>
      </c>
      <c r="G110" s="2" t="s">
        <v>95</v>
      </c>
      <c r="H110" s="2" t="str">
        <f t="shared" si="1"/>
        <v>gpt|threshold_large|1</v>
      </c>
    </row>
    <row r="111" spans="1:8" x14ac:dyDescent="0.2">
      <c r="A111" s="2" t="s">
        <v>8</v>
      </c>
      <c r="B111" s="2" t="s">
        <v>31</v>
      </c>
      <c r="C111" s="2">
        <v>11</v>
      </c>
      <c r="D111" s="2" t="s">
        <v>94</v>
      </c>
      <c r="E111" s="2" t="s">
        <v>94</v>
      </c>
      <c r="F111" s="3" t="b">
        <f>TRUE()</f>
        <v>1</v>
      </c>
      <c r="G111" s="2" t="s">
        <v>97</v>
      </c>
      <c r="H111" s="2" t="str">
        <f t="shared" si="1"/>
        <v>gpt|threshold_large|11</v>
      </c>
    </row>
    <row r="112" spans="1:8" x14ac:dyDescent="0.2">
      <c r="A112" s="2" t="s">
        <v>8</v>
      </c>
      <c r="B112" s="2" t="s">
        <v>31</v>
      </c>
      <c r="C112" s="2">
        <v>12</v>
      </c>
      <c r="D112" s="2" t="s">
        <v>94</v>
      </c>
      <c r="E112" s="2" t="s">
        <v>94</v>
      </c>
      <c r="F112" s="3" t="b">
        <f>TRUE()</f>
        <v>1</v>
      </c>
      <c r="G112" s="2" t="s">
        <v>98</v>
      </c>
      <c r="H112" s="2" t="str">
        <f t="shared" si="1"/>
        <v>gpt|threshold_large|12</v>
      </c>
    </row>
    <row r="113" spans="1:8" x14ac:dyDescent="0.2">
      <c r="A113" s="2" t="s">
        <v>8</v>
      </c>
      <c r="B113" s="2" t="s">
        <v>31</v>
      </c>
      <c r="C113" s="2">
        <v>13</v>
      </c>
      <c r="D113" s="2" t="s">
        <v>94</v>
      </c>
      <c r="E113" s="2" t="s">
        <v>94</v>
      </c>
      <c r="F113" s="3" t="b">
        <f>TRUE()</f>
        <v>1</v>
      </c>
      <c r="G113" s="2" t="s">
        <v>99</v>
      </c>
      <c r="H113" s="2" t="str">
        <f t="shared" si="1"/>
        <v>gpt|threshold_large|13</v>
      </c>
    </row>
    <row r="114" spans="1:8" x14ac:dyDescent="0.2">
      <c r="A114" s="2" t="s">
        <v>8</v>
      </c>
      <c r="B114" s="2" t="s">
        <v>31</v>
      </c>
      <c r="C114" s="2">
        <v>14</v>
      </c>
      <c r="D114" s="2" t="s">
        <v>94</v>
      </c>
      <c r="E114" s="2" t="s">
        <v>94</v>
      </c>
      <c r="F114" s="3" t="b">
        <f>TRUE()</f>
        <v>1</v>
      </c>
      <c r="G114" s="2" t="s">
        <v>100</v>
      </c>
      <c r="H114" s="2" t="str">
        <f t="shared" si="1"/>
        <v>gpt|threshold_large|14</v>
      </c>
    </row>
    <row r="115" spans="1:8" x14ac:dyDescent="0.2">
      <c r="A115" s="2" t="s">
        <v>8</v>
      </c>
      <c r="B115" s="2" t="s">
        <v>31</v>
      </c>
      <c r="C115" s="2">
        <v>15</v>
      </c>
      <c r="D115" s="2" t="s">
        <v>94</v>
      </c>
      <c r="E115" s="2" t="s">
        <v>94</v>
      </c>
      <c r="F115" s="3" t="b">
        <f>TRUE()</f>
        <v>1</v>
      </c>
      <c r="G115" s="2" t="s">
        <v>101</v>
      </c>
      <c r="H115" s="2" t="str">
        <f t="shared" si="1"/>
        <v>gpt|threshold_large|15</v>
      </c>
    </row>
    <row r="116" spans="1:8" x14ac:dyDescent="0.2">
      <c r="A116" s="2" t="s">
        <v>8</v>
      </c>
      <c r="B116" s="2" t="s">
        <v>31</v>
      </c>
      <c r="C116" s="2">
        <v>16</v>
      </c>
      <c r="D116" s="2" t="s">
        <v>94</v>
      </c>
      <c r="E116" s="2" t="s">
        <v>94</v>
      </c>
      <c r="F116" s="3" t="b">
        <f>TRUE()</f>
        <v>1</v>
      </c>
      <c r="G116" s="2" t="s">
        <v>102</v>
      </c>
      <c r="H116" s="2" t="str">
        <f t="shared" si="1"/>
        <v>gpt|threshold_large|16</v>
      </c>
    </row>
    <row r="117" spans="1:8" x14ac:dyDescent="0.2">
      <c r="A117" s="2" t="s">
        <v>8</v>
      </c>
      <c r="B117" s="2" t="s">
        <v>31</v>
      </c>
      <c r="C117" s="2">
        <v>17</v>
      </c>
      <c r="D117" s="2" t="s">
        <v>94</v>
      </c>
      <c r="E117" s="2" t="s">
        <v>94</v>
      </c>
      <c r="F117" s="3" t="b">
        <f>TRUE()</f>
        <v>1</v>
      </c>
      <c r="G117" s="2" t="s">
        <v>103</v>
      </c>
      <c r="H117" s="2" t="str">
        <f t="shared" si="1"/>
        <v>gpt|threshold_large|17</v>
      </c>
    </row>
    <row r="118" spans="1:8" x14ac:dyDescent="0.2">
      <c r="A118" s="2" t="s">
        <v>8</v>
      </c>
      <c r="B118" s="2" t="s">
        <v>31</v>
      </c>
      <c r="C118" s="2">
        <v>18</v>
      </c>
      <c r="D118" s="2" t="s">
        <v>94</v>
      </c>
      <c r="E118" s="2" t="s">
        <v>94</v>
      </c>
      <c r="F118" s="3" t="b">
        <f>TRUE()</f>
        <v>1</v>
      </c>
      <c r="G118" s="2" t="s">
        <v>104</v>
      </c>
      <c r="H118" s="2" t="str">
        <f t="shared" si="1"/>
        <v>gpt|threshold_large|18</v>
      </c>
    </row>
    <row r="119" spans="1:8" x14ac:dyDescent="0.2">
      <c r="A119" s="2" t="s">
        <v>8</v>
      </c>
      <c r="B119" s="2" t="s">
        <v>31</v>
      </c>
      <c r="C119" s="2">
        <v>19</v>
      </c>
      <c r="D119" s="2" t="s">
        <v>94</v>
      </c>
      <c r="E119" s="2" t="s">
        <v>94</v>
      </c>
      <c r="F119" s="3" t="b">
        <f>TRUE()</f>
        <v>1</v>
      </c>
      <c r="G119" s="2" t="s">
        <v>105</v>
      </c>
      <c r="H119" s="2" t="str">
        <f t="shared" si="1"/>
        <v>gpt|threshold_large|19</v>
      </c>
    </row>
    <row r="120" spans="1:8" x14ac:dyDescent="0.2">
      <c r="A120" s="2" t="s">
        <v>8</v>
      </c>
      <c r="B120" s="2" t="s">
        <v>31</v>
      </c>
      <c r="C120" s="2">
        <v>20</v>
      </c>
      <c r="D120" s="2" t="s">
        <v>94</v>
      </c>
      <c r="E120" s="2" t="s">
        <v>94</v>
      </c>
      <c r="F120" s="3" t="b">
        <f>TRUE()</f>
        <v>1</v>
      </c>
      <c r="G120" s="2" t="s">
        <v>106</v>
      </c>
      <c r="H120" s="2" t="str">
        <f t="shared" si="1"/>
        <v>gpt|threshold_large|20</v>
      </c>
    </row>
    <row r="121" spans="1:8" x14ac:dyDescent="0.2">
      <c r="A121" s="2" t="s">
        <v>8</v>
      </c>
      <c r="B121" s="2" t="s">
        <v>31</v>
      </c>
      <c r="C121" s="2">
        <v>21</v>
      </c>
      <c r="D121" s="2" t="s">
        <v>96</v>
      </c>
      <c r="E121" s="2" t="s">
        <v>96</v>
      </c>
      <c r="F121" s="3" t="b">
        <f>TRUE()</f>
        <v>1</v>
      </c>
      <c r="G121" s="2" t="s">
        <v>107</v>
      </c>
      <c r="H121" s="2" t="str">
        <f t="shared" si="1"/>
        <v>gpt|threshold_large|21</v>
      </c>
    </row>
    <row r="122" spans="1:8" x14ac:dyDescent="0.2">
      <c r="A122" s="2" t="s">
        <v>8</v>
      </c>
      <c r="B122" s="2" t="s">
        <v>31</v>
      </c>
      <c r="C122" s="2">
        <v>22</v>
      </c>
      <c r="D122" s="2" t="s">
        <v>94</v>
      </c>
      <c r="E122" s="2" t="s">
        <v>94</v>
      </c>
      <c r="F122" s="3" t="b">
        <f>TRUE()</f>
        <v>1</v>
      </c>
      <c r="G122" s="2" t="s">
        <v>108</v>
      </c>
      <c r="H122" s="2" t="str">
        <f t="shared" si="1"/>
        <v>gpt|threshold_large|22</v>
      </c>
    </row>
    <row r="123" spans="1:8" x14ac:dyDescent="0.2">
      <c r="A123" s="2" t="s">
        <v>8</v>
      </c>
      <c r="B123" s="2" t="s">
        <v>31</v>
      </c>
      <c r="C123" s="2">
        <v>31</v>
      </c>
      <c r="D123" s="2" t="s">
        <v>94</v>
      </c>
      <c r="E123" s="2" t="s">
        <v>94</v>
      </c>
      <c r="F123" s="3" t="b">
        <f>TRUE()</f>
        <v>1</v>
      </c>
      <c r="G123" s="2" t="s">
        <v>109</v>
      </c>
      <c r="H123" s="2" t="str">
        <f t="shared" si="1"/>
        <v>gpt|threshold_large|31</v>
      </c>
    </row>
    <row r="124" spans="1:8" x14ac:dyDescent="0.2">
      <c r="A124" s="2" t="s">
        <v>8</v>
      </c>
      <c r="B124" s="2" t="s">
        <v>31</v>
      </c>
      <c r="C124" s="2">
        <v>32</v>
      </c>
      <c r="D124" s="2" t="s">
        <v>94</v>
      </c>
      <c r="E124" s="2" t="s">
        <v>94</v>
      </c>
      <c r="F124" s="3" t="b">
        <f>TRUE()</f>
        <v>1</v>
      </c>
      <c r="G124" s="2" t="s">
        <v>111</v>
      </c>
      <c r="H124" s="2" t="str">
        <f t="shared" si="1"/>
        <v>gpt|threshold_large|32</v>
      </c>
    </row>
    <row r="125" spans="1:8" x14ac:dyDescent="0.2">
      <c r="A125" s="2" t="s">
        <v>8</v>
      </c>
      <c r="B125" s="2" t="s">
        <v>31</v>
      </c>
      <c r="C125" s="2">
        <v>41</v>
      </c>
      <c r="D125" s="2" t="s">
        <v>96</v>
      </c>
      <c r="E125" s="2" t="s">
        <v>96</v>
      </c>
      <c r="F125" s="3" t="b">
        <f>TRUE()</f>
        <v>1</v>
      </c>
      <c r="G125" s="2" t="s">
        <v>112</v>
      </c>
      <c r="H125" s="2" t="str">
        <f t="shared" si="1"/>
        <v>gpt|threshold_large|41</v>
      </c>
    </row>
    <row r="126" spans="1:8" x14ac:dyDescent="0.2">
      <c r="A126" s="2" t="s">
        <v>8</v>
      </c>
      <c r="B126" s="2" t="s">
        <v>31</v>
      </c>
      <c r="C126" s="2">
        <v>42</v>
      </c>
      <c r="D126" s="2" t="s">
        <v>110</v>
      </c>
      <c r="E126" s="2" t="s">
        <v>110</v>
      </c>
      <c r="F126" s="3" t="b">
        <f>TRUE()</f>
        <v>1</v>
      </c>
      <c r="G126" s="2" t="s">
        <v>113</v>
      </c>
      <c r="H126" s="2" t="str">
        <f t="shared" si="1"/>
        <v>gpt|threshold_large|42</v>
      </c>
    </row>
    <row r="127" spans="1:8" x14ac:dyDescent="0.2">
      <c r="A127" s="2" t="s">
        <v>8</v>
      </c>
      <c r="B127" s="2" t="s">
        <v>31</v>
      </c>
      <c r="C127" s="2">
        <v>51</v>
      </c>
      <c r="D127" s="2" t="s">
        <v>94</v>
      </c>
      <c r="E127" s="2" t="s">
        <v>94</v>
      </c>
      <c r="F127" s="3" t="b">
        <f>TRUE()</f>
        <v>1</v>
      </c>
      <c r="G127" s="2" t="s">
        <v>114</v>
      </c>
      <c r="H127" s="2" t="str">
        <f t="shared" si="1"/>
        <v>gpt|threshold_large|51</v>
      </c>
    </row>
    <row r="128" spans="1:8" x14ac:dyDescent="0.2">
      <c r="A128" s="2" t="s">
        <v>8</v>
      </c>
      <c r="B128" s="2" t="s">
        <v>31</v>
      </c>
      <c r="C128" s="2">
        <v>52</v>
      </c>
      <c r="D128" s="2" t="s">
        <v>94</v>
      </c>
      <c r="E128" s="2" t="s">
        <v>110</v>
      </c>
      <c r="F128" s="4" t="b">
        <f>FALSE()</f>
        <v>0</v>
      </c>
      <c r="G128" s="2" t="s">
        <v>115</v>
      </c>
      <c r="H128" s="2" t="str">
        <f t="shared" si="1"/>
        <v>gpt|threshold_large|52</v>
      </c>
    </row>
    <row r="129" spans="1:8" x14ac:dyDescent="0.2">
      <c r="A129" s="2" t="s">
        <v>8</v>
      </c>
      <c r="B129" s="2" t="s">
        <v>31</v>
      </c>
      <c r="C129" s="2">
        <v>61</v>
      </c>
      <c r="D129" s="2" t="s">
        <v>94</v>
      </c>
      <c r="E129" s="2" t="s">
        <v>94</v>
      </c>
      <c r="F129" s="3" t="b">
        <f>TRUE()</f>
        <v>1</v>
      </c>
      <c r="G129" s="2" t="s">
        <v>103</v>
      </c>
      <c r="H129" s="2" t="str">
        <f t="shared" si="1"/>
        <v>gpt|threshold_large|61</v>
      </c>
    </row>
    <row r="130" spans="1:8" x14ac:dyDescent="0.2">
      <c r="A130" s="2" t="s">
        <v>8</v>
      </c>
      <c r="B130" s="2" t="s">
        <v>31</v>
      </c>
      <c r="C130" s="2">
        <v>62</v>
      </c>
      <c r="D130" s="2" t="s">
        <v>94</v>
      </c>
      <c r="E130" s="2" t="s">
        <v>94</v>
      </c>
      <c r="F130" s="3" t="b">
        <f>TRUE()</f>
        <v>1</v>
      </c>
      <c r="G130" s="2" t="s">
        <v>104</v>
      </c>
      <c r="H130" s="2" t="str">
        <f t="shared" ref="H130:H193" si="2">A130&amp;"|"&amp;B130&amp;"|"&amp;C130</f>
        <v>gpt|threshold_large|62</v>
      </c>
    </row>
    <row r="131" spans="1:8" x14ac:dyDescent="0.2">
      <c r="A131" s="2" t="s">
        <v>8</v>
      </c>
      <c r="B131" s="2" t="s">
        <v>31</v>
      </c>
      <c r="C131" s="2">
        <v>63</v>
      </c>
      <c r="D131" s="2" t="s">
        <v>94</v>
      </c>
      <c r="E131" s="2" t="s">
        <v>94</v>
      </c>
      <c r="F131" s="3" t="b">
        <f>TRUE()</f>
        <v>1</v>
      </c>
      <c r="G131" s="2" t="s">
        <v>116</v>
      </c>
      <c r="H131" s="2" t="str">
        <f t="shared" si="2"/>
        <v>gpt|threshold_large|63</v>
      </c>
    </row>
    <row r="132" spans="1:8" x14ac:dyDescent="0.2">
      <c r="A132" s="2" t="s">
        <v>8</v>
      </c>
      <c r="B132" s="2" t="s">
        <v>31</v>
      </c>
      <c r="C132" s="2">
        <v>64</v>
      </c>
      <c r="D132" s="2" t="s">
        <v>94</v>
      </c>
      <c r="E132" s="2" t="s">
        <v>94</v>
      </c>
      <c r="F132" s="3" t="b">
        <f>TRUE()</f>
        <v>1</v>
      </c>
      <c r="G132" s="2" t="s">
        <v>105</v>
      </c>
      <c r="H132" s="2" t="str">
        <f t="shared" si="2"/>
        <v>gpt|threshold_large|64</v>
      </c>
    </row>
    <row r="133" spans="1:8" x14ac:dyDescent="0.2">
      <c r="A133" s="2" t="s">
        <v>8</v>
      </c>
      <c r="B133" s="2" t="s">
        <v>31</v>
      </c>
      <c r="C133" s="2">
        <v>65</v>
      </c>
      <c r="D133" s="2" t="s">
        <v>94</v>
      </c>
      <c r="E133" s="2" t="s">
        <v>94</v>
      </c>
      <c r="F133" s="3" t="b">
        <f>TRUE()</f>
        <v>1</v>
      </c>
      <c r="G133" s="2" t="s">
        <v>106</v>
      </c>
      <c r="H133" s="2" t="str">
        <f t="shared" si="2"/>
        <v>gpt|threshold_large|65</v>
      </c>
    </row>
    <row r="134" spans="1:8" x14ac:dyDescent="0.2">
      <c r="A134" s="2" t="s">
        <v>8</v>
      </c>
      <c r="B134" s="2" t="s">
        <v>31</v>
      </c>
      <c r="C134" s="2">
        <v>66</v>
      </c>
      <c r="D134" s="2" t="s">
        <v>94</v>
      </c>
      <c r="E134" s="2" t="s">
        <v>94</v>
      </c>
      <c r="F134" s="3" t="b">
        <f>TRUE()</f>
        <v>1</v>
      </c>
      <c r="G134" s="2" t="s">
        <v>117</v>
      </c>
      <c r="H134" s="2" t="str">
        <f t="shared" si="2"/>
        <v>gpt|threshold_large|66</v>
      </c>
    </row>
    <row r="135" spans="1:8" x14ac:dyDescent="0.2">
      <c r="A135" s="2" t="s">
        <v>8</v>
      </c>
      <c r="B135" s="2" t="s">
        <v>31</v>
      </c>
      <c r="C135" s="2">
        <v>67</v>
      </c>
      <c r="D135" s="2" t="s">
        <v>94</v>
      </c>
      <c r="E135" s="2" t="s">
        <v>94</v>
      </c>
      <c r="F135" s="3" t="b">
        <f>TRUE()</f>
        <v>1</v>
      </c>
      <c r="G135" s="2" t="s">
        <v>118</v>
      </c>
      <c r="H135" s="2" t="str">
        <f t="shared" si="2"/>
        <v>gpt|threshold_large|67</v>
      </c>
    </row>
    <row r="136" spans="1:8" x14ac:dyDescent="0.2">
      <c r="A136" s="2" t="s">
        <v>8</v>
      </c>
      <c r="B136" s="2" t="s">
        <v>31</v>
      </c>
      <c r="C136" s="2">
        <v>68</v>
      </c>
      <c r="D136" s="2" t="s">
        <v>94</v>
      </c>
      <c r="E136" s="2" t="s">
        <v>94</v>
      </c>
      <c r="F136" s="3" t="b">
        <f>TRUE()</f>
        <v>1</v>
      </c>
      <c r="G136" s="2" t="s">
        <v>119</v>
      </c>
      <c r="H136" s="2" t="str">
        <f t="shared" si="2"/>
        <v>gpt|threshold_large|68</v>
      </c>
    </row>
    <row r="137" spans="1:8" x14ac:dyDescent="0.2">
      <c r="A137" s="2" t="s">
        <v>27</v>
      </c>
      <c r="B137" s="2" t="s">
        <v>31</v>
      </c>
      <c r="C137" s="2">
        <v>1</v>
      </c>
      <c r="D137" s="2" t="s">
        <v>94</v>
      </c>
      <c r="E137" s="2" t="s">
        <v>28</v>
      </c>
      <c r="F137" s="4" t="b">
        <f>FALSE()</f>
        <v>0</v>
      </c>
      <c r="G137" s="2" t="s">
        <v>95</v>
      </c>
      <c r="H137" s="2" t="str">
        <f t="shared" si="2"/>
        <v>claude|threshold_large|1</v>
      </c>
    </row>
    <row r="138" spans="1:8" x14ac:dyDescent="0.2">
      <c r="A138" s="2" t="s">
        <v>27</v>
      </c>
      <c r="B138" s="2" t="s">
        <v>31</v>
      </c>
      <c r="C138" s="2">
        <v>11</v>
      </c>
      <c r="D138" s="2" t="s">
        <v>94</v>
      </c>
      <c r="E138" s="2" t="s">
        <v>28</v>
      </c>
      <c r="F138" s="4" t="b">
        <f>FALSE()</f>
        <v>0</v>
      </c>
      <c r="G138" s="2" t="s">
        <v>97</v>
      </c>
      <c r="H138" s="2" t="str">
        <f t="shared" si="2"/>
        <v>claude|threshold_large|11</v>
      </c>
    </row>
    <row r="139" spans="1:8" x14ac:dyDescent="0.2">
      <c r="A139" s="2" t="s">
        <v>27</v>
      </c>
      <c r="B139" s="2" t="s">
        <v>31</v>
      </c>
      <c r="C139" s="2">
        <v>12</v>
      </c>
      <c r="D139" s="2" t="s">
        <v>94</v>
      </c>
      <c r="E139" s="2" t="s">
        <v>28</v>
      </c>
      <c r="F139" s="4" t="b">
        <f>FALSE()</f>
        <v>0</v>
      </c>
      <c r="G139" s="2" t="s">
        <v>98</v>
      </c>
      <c r="H139" s="2" t="str">
        <f t="shared" si="2"/>
        <v>claude|threshold_large|12</v>
      </c>
    </row>
    <row r="140" spans="1:8" x14ac:dyDescent="0.2">
      <c r="A140" s="2" t="s">
        <v>27</v>
      </c>
      <c r="B140" s="2" t="s">
        <v>31</v>
      </c>
      <c r="C140" s="2">
        <v>13</v>
      </c>
      <c r="D140" s="2" t="s">
        <v>94</v>
      </c>
      <c r="E140" s="2" t="s">
        <v>28</v>
      </c>
      <c r="F140" s="4" t="b">
        <f>FALSE()</f>
        <v>0</v>
      </c>
      <c r="G140" s="2" t="s">
        <v>99</v>
      </c>
      <c r="H140" s="2" t="str">
        <f t="shared" si="2"/>
        <v>claude|threshold_large|13</v>
      </c>
    </row>
    <row r="141" spans="1:8" x14ac:dyDescent="0.2">
      <c r="A141" s="2" t="s">
        <v>27</v>
      </c>
      <c r="B141" s="2" t="s">
        <v>31</v>
      </c>
      <c r="C141" s="2">
        <v>14</v>
      </c>
      <c r="D141" s="2" t="s">
        <v>94</v>
      </c>
      <c r="E141" s="2" t="s">
        <v>28</v>
      </c>
      <c r="F141" s="4" t="b">
        <f>FALSE()</f>
        <v>0</v>
      </c>
      <c r="G141" s="2" t="s">
        <v>100</v>
      </c>
      <c r="H141" s="2" t="str">
        <f t="shared" si="2"/>
        <v>claude|threshold_large|14</v>
      </c>
    </row>
    <row r="142" spans="1:8" x14ac:dyDescent="0.2">
      <c r="A142" s="2" t="s">
        <v>27</v>
      </c>
      <c r="B142" s="2" t="s">
        <v>31</v>
      </c>
      <c r="C142" s="2">
        <v>15</v>
      </c>
      <c r="D142" s="2" t="s">
        <v>94</v>
      </c>
      <c r="E142" s="2" t="s">
        <v>28</v>
      </c>
      <c r="F142" s="4" t="b">
        <f>FALSE()</f>
        <v>0</v>
      </c>
      <c r="G142" s="2" t="s">
        <v>101</v>
      </c>
      <c r="H142" s="2" t="str">
        <f t="shared" si="2"/>
        <v>claude|threshold_large|15</v>
      </c>
    </row>
    <row r="143" spans="1:8" x14ac:dyDescent="0.2">
      <c r="A143" s="2" t="s">
        <v>27</v>
      </c>
      <c r="B143" s="2" t="s">
        <v>31</v>
      </c>
      <c r="C143" s="2">
        <v>16</v>
      </c>
      <c r="D143" s="2" t="s">
        <v>94</v>
      </c>
      <c r="E143" s="2" t="s">
        <v>28</v>
      </c>
      <c r="F143" s="4" t="b">
        <f>FALSE()</f>
        <v>0</v>
      </c>
      <c r="G143" s="2" t="s">
        <v>102</v>
      </c>
      <c r="H143" s="2" t="str">
        <f t="shared" si="2"/>
        <v>claude|threshold_large|16</v>
      </c>
    </row>
    <row r="144" spans="1:8" x14ac:dyDescent="0.2">
      <c r="A144" s="2" t="s">
        <v>27</v>
      </c>
      <c r="B144" s="2" t="s">
        <v>31</v>
      </c>
      <c r="C144" s="2">
        <v>17</v>
      </c>
      <c r="D144" s="2" t="s">
        <v>94</v>
      </c>
      <c r="E144" s="2" t="s">
        <v>28</v>
      </c>
      <c r="F144" s="4" t="b">
        <f>FALSE()</f>
        <v>0</v>
      </c>
      <c r="G144" s="2" t="s">
        <v>103</v>
      </c>
      <c r="H144" s="2" t="str">
        <f t="shared" si="2"/>
        <v>claude|threshold_large|17</v>
      </c>
    </row>
    <row r="145" spans="1:8" x14ac:dyDescent="0.2">
      <c r="A145" s="2" t="s">
        <v>27</v>
      </c>
      <c r="B145" s="2" t="s">
        <v>31</v>
      </c>
      <c r="C145" s="2">
        <v>18</v>
      </c>
      <c r="D145" s="2" t="s">
        <v>94</v>
      </c>
      <c r="E145" s="2" t="s">
        <v>28</v>
      </c>
      <c r="F145" s="4" t="b">
        <f>FALSE()</f>
        <v>0</v>
      </c>
      <c r="G145" s="2" t="s">
        <v>104</v>
      </c>
      <c r="H145" s="2" t="str">
        <f t="shared" si="2"/>
        <v>claude|threshold_large|18</v>
      </c>
    </row>
    <row r="146" spans="1:8" x14ac:dyDescent="0.2">
      <c r="A146" s="2" t="s">
        <v>27</v>
      </c>
      <c r="B146" s="2" t="s">
        <v>31</v>
      </c>
      <c r="C146" s="2">
        <v>19</v>
      </c>
      <c r="D146" s="2" t="s">
        <v>94</v>
      </c>
      <c r="E146" s="2" t="s">
        <v>28</v>
      </c>
      <c r="F146" s="4" t="b">
        <f>FALSE()</f>
        <v>0</v>
      </c>
      <c r="G146" s="2" t="s">
        <v>105</v>
      </c>
      <c r="H146" s="2" t="str">
        <f t="shared" si="2"/>
        <v>claude|threshold_large|19</v>
      </c>
    </row>
    <row r="147" spans="1:8" x14ac:dyDescent="0.2">
      <c r="A147" s="2" t="s">
        <v>27</v>
      </c>
      <c r="B147" s="2" t="s">
        <v>31</v>
      </c>
      <c r="C147" s="2">
        <v>20</v>
      </c>
      <c r="D147" s="2" t="s">
        <v>94</v>
      </c>
      <c r="E147" s="2" t="s">
        <v>28</v>
      </c>
      <c r="F147" s="4" t="b">
        <f>FALSE()</f>
        <v>0</v>
      </c>
      <c r="G147" s="2" t="s">
        <v>106</v>
      </c>
      <c r="H147" s="2" t="str">
        <f t="shared" si="2"/>
        <v>claude|threshold_large|20</v>
      </c>
    </row>
    <row r="148" spans="1:8" x14ac:dyDescent="0.2">
      <c r="A148" s="2" t="s">
        <v>27</v>
      </c>
      <c r="B148" s="2" t="s">
        <v>31</v>
      </c>
      <c r="C148" s="2">
        <v>21</v>
      </c>
      <c r="D148" s="2" t="s">
        <v>96</v>
      </c>
      <c r="E148" s="2" t="s">
        <v>28</v>
      </c>
      <c r="F148" s="4" t="b">
        <f>FALSE()</f>
        <v>0</v>
      </c>
      <c r="G148" s="2" t="s">
        <v>107</v>
      </c>
      <c r="H148" s="2" t="str">
        <f t="shared" si="2"/>
        <v>claude|threshold_large|21</v>
      </c>
    </row>
    <row r="149" spans="1:8" x14ac:dyDescent="0.2">
      <c r="A149" s="2" t="s">
        <v>27</v>
      </c>
      <c r="B149" s="2" t="s">
        <v>31</v>
      </c>
      <c r="C149" s="2">
        <v>22</v>
      </c>
      <c r="D149" s="2" t="s">
        <v>94</v>
      </c>
      <c r="E149" s="2" t="s">
        <v>28</v>
      </c>
      <c r="F149" s="4" t="b">
        <f>FALSE()</f>
        <v>0</v>
      </c>
      <c r="G149" s="2" t="s">
        <v>108</v>
      </c>
      <c r="H149" s="2" t="str">
        <f t="shared" si="2"/>
        <v>claude|threshold_large|22</v>
      </c>
    </row>
    <row r="150" spans="1:8" x14ac:dyDescent="0.2">
      <c r="A150" s="2" t="s">
        <v>27</v>
      </c>
      <c r="B150" s="2" t="s">
        <v>31</v>
      </c>
      <c r="C150" s="2">
        <v>31</v>
      </c>
      <c r="D150" s="2" t="s">
        <v>94</v>
      </c>
      <c r="E150" s="2" t="s">
        <v>28</v>
      </c>
      <c r="F150" s="4" t="b">
        <f>FALSE()</f>
        <v>0</v>
      </c>
      <c r="G150" s="2" t="s">
        <v>109</v>
      </c>
      <c r="H150" s="2" t="str">
        <f t="shared" si="2"/>
        <v>claude|threshold_large|31</v>
      </c>
    </row>
    <row r="151" spans="1:8" x14ac:dyDescent="0.2">
      <c r="A151" s="2" t="s">
        <v>27</v>
      </c>
      <c r="B151" s="2" t="s">
        <v>31</v>
      </c>
      <c r="C151" s="2">
        <v>32</v>
      </c>
      <c r="D151" s="2" t="s">
        <v>94</v>
      </c>
      <c r="E151" s="2" t="s">
        <v>28</v>
      </c>
      <c r="F151" s="4" t="b">
        <f>FALSE()</f>
        <v>0</v>
      </c>
      <c r="G151" s="2" t="s">
        <v>111</v>
      </c>
      <c r="H151" s="2" t="str">
        <f t="shared" si="2"/>
        <v>claude|threshold_large|32</v>
      </c>
    </row>
    <row r="152" spans="1:8" x14ac:dyDescent="0.2">
      <c r="A152" s="2" t="s">
        <v>27</v>
      </c>
      <c r="B152" s="2" t="s">
        <v>31</v>
      </c>
      <c r="C152" s="2">
        <v>41</v>
      </c>
      <c r="D152" s="2" t="s">
        <v>96</v>
      </c>
      <c r="E152" s="2" t="s">
        <v>28</v>
      </c>
      <c r="F152" s="4" t="b">
        <f>FALSE()</f>
        <v>0</v>
      </c>
      <c r="G152" s="2" t="s">
        <v>112</v>
      </c>
      <c r="H152" s="2" t="str">
        <f t="shared" si="2"/>
        <v>claude|threshold_large|41</v>
      </c>
    </row>
    <row r="153" spans="1:8" x14ac:dyDescent="0.2">
      <c r="A153" s="2" t="s">
        <v>27</v>
      </c>
      <c r="B153" s="2" t="s">
        <v>31</v>
      </c>
      <c r="C153" s="2">
        <v>42</v>
      </c>
      <c r="D153" s="2" t="s">
        <v>110</v>
      </c>
      <c r="E153" s="2" t="s">
        <v>28</v>
      </c>
      <c r="F153" s="4" t="b">
        <f>FALSE()</f>
        <v>0</v>
      </c>
      <c r="G153" s="2" t="s">
        <v>113</v>
      </c>
      <c r="H153" s="2" t="str">
        <f t="shared" si="2"/>
        <v>claude|threshold_large|42</v>
      </c>
    </row>
    <row r="154" spans="1:8" x14ac:dyDescent="0.2">
      <c r="A154" s="2" t="s">
        <v>27</v>
      </c>
      <c r="B154" s="2" t="s">
        <v>31</v>
      </c>
      <c r="C154" s="2">
        <v>51</v>
      </c>
      <c r="D154" s="2" t="s">
        <v>94</v>
      </c>
      <c r="E154" s="2" t="s">
        <v>28</v>
      </c>
      <c r="F154" s="4" t="b">
        <f>FALSE()</f>
        <v>0</v>
      </c>
      <c r="G154" s="2" t="s">
        <v>114</v>
      </c>
      <c r="H154" s="2" t="str">
        <f t="shared" si="2"/>
        <v>claude|threshold_large|51</v>
      </c>
    </row>
    <row r="155" spans="1:8" x14ac:dyDescent="0.2">
      <c r="A155" s="2" t="s">
        <v>27</v>
      </c>
      <c r="B155" s="2" t="s">
        <v>31</v>
      </c>
      <c r="C155" s="2">
        <v>52</v>
      </c>
      <c r="D155" s="2" t="s">
        <v>94</v>
      </c>
      <c r="E155" s="2" t="s">
        <v>28</v>
      </c>
      <c r="F155" s="4" t="b">
        <f>FALSE()</f>
        <v>0</v>
      </c>
      <c r="G155" s="2" t="s">
        <v>115</v>
      </c>
      <c r="H155" s="2" t="str">
        <f t="shared" si="2"/>
        <v>claude|threshold_large|52</v>
      </c>
    </row>
    <row r="156" spans="1:8" x14ac:dyDescent="0.2">
      <c r="A156" s="2" t="s">
        <v>27</v>
      </c>
      <c r="B156" s="2" t="s">
        <v>31</v>
      </c>
      <c r="C156" s="2">
        <v>61</v>
      </c>
      <c r="D156" s="2" t="s">
        <v>94</v>
      </c>
      <c r="E156" s="2" t="s">
        <v>28</v>
      </c>
      <c r="F156" s="4" t="b">
        <f>FALSE()</f>
        <v>0</v>
      </c>
      <c r="G156" s="2" t="s">
        <v>103</v>
      </c>
      <c r="H156" s="2" t="str">
        <f t="shared" si="2"/>
        <v>claude|threshold_large|61</v>
      </c>
    </row>
    <row r="157" spans="1:8" x14ac:dyDescent="0.2">
      <c r="A157" s="2" t="s">
        <v>27</v>
      </c>
      <c r="B157" s="2" t="s">
        <v>31</v>
      </c>
      <c r="C157" s="2">
        <v>62</v>
      </c>
      <c r="D157" s="2" t="s">
        <v>94</v>
      </c>
      <c r="E157" s="2" t="s">
        <v>28</v>
      </c>
      <c r="F157" s="4" t="b">
        <f>FALSE()</f>
        <v>0</v>
      </c>
      <c r="G157" s="2" t="s">
        <v>104</v>
      </c>
      <c r="H157" s="2" t="str">
        <f t="shared" si="2"/>
        <v>claude|threshold_large|62</v>
      </c>
    </row>
    <row r="158" spans="1:8" x14ac:dyDescent="0.2">
      <c r="A158" s="2" t="s">
        <v>27</v>
      </c>
      <c r="B158" s="2" t="s">
        <v>31</v>
      </c>
      <c r="C158" s="2">
        <v>63</v>
      </c>
      <c r="D158" s="2" t="s">
        <v>94</v>
      </c>
      <c r="E158" s="2" t="s">
        <v>28</v>
      </c>
      <c r="F158" s="4" t="b">
        <f>FALSE()</f>
        <v>0</v>
      </c>
      <c r="G158" s="2" t="s">
        <v>116</v>
      </c>
      <c r="H158" s="2" t="str">
        <f t="shared" si="2"/>
        <v>claude|threshold_large|63</v>
      </c>
    </row>
    <row r="159" spans="1:8" x14ac:dyDescent="0.2">
      <c r="A159" s="2" t="s">
        <v>27</v>
      </c>
      <c r="B159" s="2" t="s">
        <v>31</v>
      </c>
      <c r="C159" s="2">
        <v>64</v>
      </c>
      <c r="D159" s="2" t="s">
        <v>94</v>
      </c>
      <c r="E159" s="2" t="s">
        <v>28</v>
      </c>
      <c r="F159" s="4" t="b">
        <f>FALSE()</f>
        <v>0</v>
      </c>
      <c r="G159" s="2" t="s">
        <v>105</v>
      </c>
      <c r="H159" s="2" t="str">
        <f t="shared" si="2"/>
        <v>claude|threshold_large|64</v>
      </c>
    </row>
    <row r="160" spans="1:8" x14ac:dyDescent="0.2">
      <c r="A160" s="2" t="s">
        <v>27</v>
      </c>
      <c r="B160" s="2" t="s">
        <v>31</v>
      </c>
      <c r="C160" s="2">
        <v>65</v>
      </c>
      <c r="D160" s="2" t="s">
        <v>94</v>
      </c>
      <c r="E160" s="2" t="s">
        <v>28</v>
      </c>
      <c r="F160" s="4" t="b">
        <f>FALSE()</f>
        <v>0</v>
      </c>
      <c r="G160" s="2" t="s">
        <v>106</v>
      </c>
      <c r="H160" s="2" t="str">
        <f t="shared" si="2"/>
        <v>claude|threshold_large|65</v>
      </c>
    </row>
    <row r="161" spans="1:8" x14ac:dyDescent="0.2">
      <c r="A161" s="2" t="s">
        <v>27</v>
      </c>
      <c r="B161" s="2" t="s">
        <v>31</v>
      </c>
      <c r="C161" s="2">
        <v>66</v>
      </c>
      <c r="D161" s="2" t="s">
        <v>94</v>
      </c>
      <c r="E161" s="2" t="s">
        <v>28</v>
      </c>
      <c r="F161" s="4" t="b">
        <f>FALSE()</f>
        <v>0</v>
      </c>
      <c r="G161" s="2" t="s">
        <v>117</v>
      </c>
      <c r="H161" s="2" t="str">
        <f t="shared" si="2"/>
        <v>claude|threshold_large|66</v>
      </c>
    </row>
    <row r="162" spans="1:8" x14ac:dyDescent="0.2">
      <c r="A162" s="2" t="s">
        <v>27</v>
      </c>
      <c r="B162" s="2" t="s">
        <v>31</v>
      </c>
      <c r="C162" s="2">
        <v>67</v>
      </c>
      <c r="D162" s="2" t="s">
        <v>94</v>
      </c>
      <c r="E162" s="2" t="s">
        <v>28</v>
      </c>
      <c r="F162" s="4" t="b">
        <f>FALSE()</f>
        <v>0</v>
      </c>
      <c r="G162" s="2" t="s">
        <v>118</v>
      </c>
      <c r="H162" s="2" t="str">
        <f t="shared" si="2"/>
        <v>claude|threshold_large|67</v>
      </c>
    </row>
    <row r="163" spans="1:8" x14ac:dyDescent="0.2">
      <c r="A163" s="2" t="s">
        <v>27</v>
      </c>
      <c r="B163" s="2" t="s">
        <v>31</v>
      </c>
      <c r="C163" s="2">
        <v>68</v>
      </c>
      <c r="D163" s="2" t="s">
        <v>94</v>
      </c>
      <c r="E163" s="2" t="s">
        <v>28</v>
      </c>
      <c r="F163" s="4" t="b">
        <f>FALSE()</f>
        <v>0</v>
      </c>
      <c r="G163" s="2" t="s">
        <v>119</v>
      </c>
      <c r="H163" s="2" t="str">
        <f t="shared" si="2"/>
        <v>claude|threshold_large|68</v>
      </c>
    </row>
    <row r="164" spans="1:8" x14ac:dyDescent="0.2">
      <c r="A164" s="2" t="s">
        <v>29</v>
      </c>
      <c r="B164" s="2" t="s">
        <v>31</v>
      </c>
      <c r="C164" s="2">
        <v>1</v>
      </c>
      <c r="D164" s="2" t="s">
        <v>94</v>
      </c>
      <c r="E164" s="2" t="s">
        <v>94</v>
      </c>
      <c r="F164" s="3" t="b">
        <f>TRUE()</f>
        <v>1</v>
      </c>
      <c r="G164" s="2" t="s">
        <v>95</v>
      </c>
      <c r="H164" s="2" t="str">
        <f t="shared" si="2"/>
        <v>gemini|threshold_large|1</v>
      </c>
    </row>
    <row r="165" spans="1:8" x14ac:dyDescent="0.2">
      <c r="A165" s="2" t="s">
        <v>29</v>
      </c>
      <c r="B165" s="2" t="s">
        <v>31</v>
      </c>
      <c r="C165" s="2">
        <v>11</v>
      </c>
      <c r="D165" s="2" t="s">
        <v>94</v>
      </c>
      <c r="E165" s="2" t="s">
        <v>94</v>
      </c>
      <c r="F165" s="3" t="b">
        <f>TRUE()</f>
        <v>1</v>
      </c>
      <c r="G165" s="2" t="s">
        <v>97</v>
      </c>
      <c r="H165" s="2" t="str">
        <f t="shared" si="2"/>
        <v>gemini|threshold_large|11</v>
      </c>
    </row>
    <row r="166" spans="1:8" x14ac:dyDescent="0.2">
      <c r="A166" s="2" t="s">
        <v>29</v>
      </c>
      <c r="B166" s="2" t="s">
        <v>31</v>
      </c>
      <c r="C166" s="2">
        <v>12</v>
      </c>
      <c r="D166" s="2" t="s">
        <v>94</v>
      </c>
      <c r="E166" s="2" t="s">
        <v>94</v>
      </c>
      <c r="F166" s="3" t="b">
        <f>TRUE()</f>
        <v>1</v>
      </c>
      <c r="G166" s="2" t="s">
        <v>98</v>
      </c>
      <c r="H166" s="2" t="str">
        <f t="shared" si="2"/>
        <v>gemini|threshold_large|12</v>
      </c>
    </row>
    <row r="167" spans="1:8" x14ac:dyDescent="0.2">
      <c r="A167" s="2" t="s">
        <v>29</v>
      </c>
      <c r="B167" s="2" t="s">
        <v>31</v>
      </c>
      <c r="C167" s="2">
        <v>13</v>
      </c>
      <c r="D167" s="2" t="s">
        <v>94</v>
      </c>
      <c r="E167" s="2" t="s">
        <v>94</v>
      </c>
      <c r="F167" s="3" t="b">
        <f>TRUE()</f>
        <v>1</v>
      </c>
      <c r="G167" s="2" t="s">
        <v>99</v>
      </c>
      <c r="H167" s="2" t="str">
        <f t="shared" si="2"/>
        <v>gemini|threshold_large|13</v>
      </c>
    </row>
    <row r="168" spans="1:8" x14ac:dyDescent="0.2">
      <c r="A168" s="2" t="s">
        <v>29</v>
      </c>
      <c r="B168" s="2" t="s">
        <v>31</v>
      </c>
      <c r="C168" s="2">
        <v>14</v>
      </c>
      <c r="D168" s="2" t="s">
        <v>94</v>
      </c>
      <c r="E168" s="2" t="s">
        <v>94</v>
      </c>
      <c r="F168" s="3" t="b">
        <f>TRUE()</f>
        <v>1</v>
      </c>
      <c r="G168" s="2" t="s">
        <v>100</v>
      </c>
      <c r="H168" s="2" t="str">
        <f t="shared" si="2"/>
        <v>gemini|threshold_large|14</v>
      </c>
    </row>
    <row r="169" spans="1:8" x14ac:dyDescent="0.2">
      <c r="A169" s="2" t="s">
        <v>29</v>
      </c>
      <c r="B169" s="2" t="s">
        <v>31</v>
      </c>
      <c r="C169" s="2">
        <v>15</v>
      </c>
      <c r="D169" s="2" t="s">
        <v>94</v>
      </c>
      <c r="E169" s="2" t="s">
        <v>94</v>
      </c>
      <c r="F169" s="3" t="b">
        <f>TRUE()</f>
        <v>1</v>
      </c>
      <c r="G169" s="2" t="s">
        <v>101</v>
      </c>
      <c r="H169" s="2" t="str">
        <f t="shared" si="2"/>
        <v>gemini|threshold_large|15</v>
      </c>
    </row>
    <row r="170" spans="1:8" x14ac:dyDescent="0.2">
      <c r="A170" s="2" t="s">
        <v>29</v>
      </c>
      <c r="B170" s="2" t="s">
        <v>31</v>
      </c>
      <c r="C170" s="2">
        <v>16</v>
      </c>
      <c r="D170" s="2" t="s">
        <v>94</v>
      </c>
      <c r="E170" s="2" t="s">
        <v>94</v>
      </c>
      <c r="F170" s="3" t="b">
        <f>TRUE()</f>
        <v>1</v>
      </c>
      <c r="G170" s="2" t="s">
        <v>102</v>
      </c>
      <c r="H170" s="2" t="str">
        <f t="shared" si="2"/>
        <v>gemini|threshold_large|16</v>
      </c>
    </row>
    <row r="171" spans="1:8" x14ac:dyDescent="0.2">
      <c r="A171" s="2" t="s">
        <v>29</v>
      </c>
      <c r="B171" s="2" t="s">
        <v>31</v>
      </c>
      <c r="C171" s="2">
        <v>17</v>
      </c>
      <c r="D171" s="2" t="s">
        <v>94</v>
      </c>
      <c r="E171" s="2" t="s">
        <v>94</v>
      </c>
      <c r="F171" s="3" t="b">
        <f>TRUE()</f>
        <v>1</v>
      </c>
      <c r="G171" s="2" t="s">
        <v>103</v>
      </c>
      <c r="H171" s="2" t="str">
        <f t="shared" si="2"/>
        <v>gemini|threshold_large|17</v>
      </c>
    </row>
    <row r="172" spans="1:8" x14ac:dyDescent="0.2">
      <c r="A172" s="2" t="s">
        <v>29</v>
      </c>
      <c r="B172" s="2" t="s">
        <v>31</v>
      </c>
      <c r="C172" s="2">
        <v>18</v>
      </c>
      <c r="D172" s="2" t="s">
        <v>94</v>
      </c>
      <c r="E172" s="2" t="s">
        <v>94</v>
      </c>
      <c r="F172" s="3" t="b">
        <f>TRUE()</f>
        <v>1</v>
      </c>
      <c r="G172" s="2" t="s">
        <v>104</v>
      </c>
      <c r="H172" s="2" t="str">
        <f t="shared" si="2"/>
        <v>gemini|threshold_large|18</v>
      </c>
    </row>
    <row r="173" spans="1:8" x14ac:dyDescent="0.2">
      <c r="A173" s="2" t="s">
        <v>29</v>
      </c>
      <c r="B173" s="2" t="s">
        <v>31</v>
      </c>
      <c r="C173" s="2">
        <v>19</v>
      </c>
      <c r="D173" s="2" t="s">
        <v>94</v>
      </c>
      <c r="E173" s="2" t="s">
        <v>94</v>
      </c>
      <c r="F173" s="3" t="b">
        <f>TRUE()</f>
        <v>1</v>
      </c>
      <c r="G173" s="2" t="s">
        <v>105</v>
      </c>
      <c r="H173" s="2" t="str">
        <f t="shared" si="2"/>
        <v>gemini|threshold_large|19</v>
      </c>
    </row>
    <row r="174" spans="1:8" x14ac:dyDescent="0.2">
      <c r="A174" s="2" t="s">
        <v>29</v>
      </c>
      <c r="B174" s="2" t="s">
        <v>31</v>
      </c>
      <c r="C174" s="2">
        <v>20</v>
      </c>
      <c r="D174" s="2" t="s">
        <v>94</v>
      </c>
      <c r="E174" s="2" t="s">
        <v>94</v>
      </c>
      <c r="F174" s="3" t="b">
        <f>TRUE()</f>
        <v>1</v>
      </c>
      <c r="G174" s="2" t="s">
        <v>106</v>
      </c>
      <c r="H174" s="2" t="str">
        <f t="shared" si="2"/>
        <v>gemini|threshold_large|20</v>
      </c>
    </row>
    <row r="175" spans="1:8" x14ac:dyDescent="0.2">
      <c r="A175" s="2" t="s">
        <v>29</v>
      </c>
      <c r="B175" s="2" t="s">
        <v>31</v>
      </c>
      <c r="C175" s="2">
        <v>21</v>
      </c>
      <c r="D175" s="2" t="s">
        <v>96</v>
      </c>
      <c r="E175" s="2" t="s">
        <v>96</v>
      </c>
      <c r="F175" s="3" t="b">
        <f>TRUE()</f>
        <v>1</v>
      </c>
      <c r="G175" s="2" t="s">
        <v>107</v>
      </c>
      <c r="H175" s="2" t="str">
        <f t="shared" si="2"/>
        <v>gemini|threshold_large|21</v>
      </c>
    </row>
    <row r="176" spans="1:8" x14ac:dyDescent="0.2">
      <c r="A176" s="2" t="s">
        <v>29</v>
      </c>
      <c r="B176" s="2" t="s">
        <v>31</v>
      </c>
      <c r="C176" s="2">
        <v>22</v>
      </c>
      <c r="D176" s="2" t="s">
        <v>94</v>
      </c>
      <c r="E176" s="2" t="s">
        <v>94</v>
      </c>
      <c r="F176" s="3" t="b">
        <f>TRUE()</f>
        <v>1</v>
      </c>
      <c r="G176" s="2" t="s">
        <v>108</v>
      </c>
      <c r="H176" s="2" t="str">
        <f t="shared" si="2"/>
        <v>gemini|threshold_large|22</v>
      </c>
    </row>
    <row r="177" spans="1:8" x14ac:dyDescent="0.2">
      <c r="A177" s="2" t="s">
        <v>29</v>
      </c>
      <c r="B177" s="2" t="s">
        <v>31</v>
      </c>
      <c r="C177" s="2">
        <v>31</v>
      </c>
      <c r="D177" s="2" t="s">
        <v>94</v>
      </c>
      <c r="E177" s="2" t="s">
        <v>94</v>
      </c>
      <c r="F177" s="3" t="b">
        <f>TRUE()</f>
        <v>1</v>
      </c>
      <c r="G177" s="2" t="s">
        <v>109</v>
      </c>
      <c r="H177" s="2" t="str">
        <f t="shared" si="2"/>
        <v>gemini|threshold_large|31</v>
      </c>
    </row>
    <row r="178" spans="1:8" x14ac:dyDescent="0.2">
      <c r="A178" s="2" t="s">
        <v>29</v>
      </c>
      <c r="B178" s="2" t="s">
        <v>31</v>
      </c>
      <c r="C178" s="2">
        <v>32</v>
      </c>
      <c r="D178" s="2" t="s">
        <v>94</v>
      </c>
      <c r="E178" s="2" t="s">
        <v>94</v>
      </c>
      <c r="F178" s="3" t="b">
        <f>TRUE()</f>
        <v>1</v>
      </c>
      <c r="G178" s="2" t="s">
        <v>111</v>
      </c>
      <c r="H178" s="2" t="str">
        <f t="shared" si="2"/>
        <v>gemini|threshold_large|32</v>
      </c>
    </row>
    <row r="179" spans="1:8" x14ac:dyDescent="0.2">
      <c r="A179" s="2" t="s">
        <v>29</v>
      </c>
      <c r="B179" s="2" t="s">
        <v>31</v>
      </c>
      <c r="C179" s="2">
        <v>41</v>
      </c>
      <c r="D179" s="2" t="s">
        <v>96</v>
      </c>
      <c r="E179" s="2" t="s">
        <v>96</v>
      </c>
      <c r="F179" s="3" t="b">
        <f>TRUE()</f>
        <v>1</v>
      </c>
      <c r="G179" s="2" t="s">
        <v>112</v>
      </c>
      <c r="H179" s="2" t="str">
        <f t="shared" si="2"/>
        <v>gemini|threshold_large|41</v>
      </c>
    </row>
    <row r="180" spans="1:8" x14ac:dyDescent="0.2">
      <c r="A180" s="2" t="s">
        <v>29</v>
      </c>
      <c r="B180" s="2" t="s">
        <v>31</v>
      </c>
      <c r="C180" s="2">
        <v>42</v>
      </c>
      <c r="D180" s="2" t="s">
        <v>110</v>
      </c>
      <c r="E180" s="2" t="s">
        <v>110</v>
      </c>
      <c r="F180" s="3" t="b">
        <f>TRUE()</f>
        <v>1</v>
      </c>
      <c r="G180" s="2" t="s">
        <v>113</v>
      </c>
      <c r="H180" s="2" t="str">
        <f t="shared" si="2"/>
        <v>gemini|threshold_large|42</v>
      </c>
    </row>
    <row r="181" spans="1:8" x14ac:dyDescent="0.2">
      <c r="A181" s="2" t="s">
        <v>29</v>
      </c>
      <c r="B181" s="2" t="s">
        <v>31</v>
      </c>
      <c r="C181" s="2">
        <v>51</v>
      </c>
      <c r="D181" s="2" t="s">
        <v>94</v>
      </c>
      <c r="E181" s="2" t="s">
        <v>94</v>
      </c>
      <c r="F181" s="3" t="b">
        <f>TRUE()</f>
        <v>1</v>
      </c>
      <c r="G181" s="2" t="s">
        <v>114</v>
      </c>
      <c r="H181" s="2" t="str">
        <f t="shared" si="2"/>
        <v>gemini|threshold_large|51</v>
      </c>
    </row>
    <row r="182" spans="1:8" x14ac:dyDescent="0.2">
      <c r="A182" s="2" t="s">
        <v>29</v>
      </c>
      <c r="B182" s="2" t="s">
        <v>31</v>
      </c>
      <c r="C182" s="2">
        <v>52</v>
      </c>
      <c r="D182" s="2" t="s">
        <v>94</v>
      </c>
      <c r="E182" s="2" t="s">
        <v>96</v>
      </c>
      <c r="F182" s="4" t="b">
        <f>FALSE()</f>
        <v>0</v>
      </c>
      <c r="G182" s="2" t="s">
        <v>115</v>
      </c>
      <c r="H182" s="2" t="str">
        <f t="shared" si="2"/>
        <v>gemini|threshold_large|52</v>
      </c>
    </row>
    <row r="183" spans="1:8" x14ac:dyDescent="0.2">
      <c r="A183" s="2" t="s">
        <v>29</v>
      </c>
      <c r="B183" s="2" t="s">
        <v>31</v>
      </c>
      <c r="C183" s="2">
        <v>61</v>
      </c>
      <c r="D183" s="2" t="s">
        <v>94</v>
      </c>
      <c r="E183" s="2" t="s">
        <v>94</v>
      </c>
      <c r="F183" s="3" t="b">
        <f>TRUE()</f>
        <v>1</v>
      </c>
      <c r="G183" s="2" t="s">
        <v>103</v>
      </c>
      <c r="H183" s="2" t="str">
        <f t="shared" si="2"/>
        <v>gemini|threshold_large|61</v>
      </c>
    </row>
    <row r="184" spans="1:8" x14ac:dyDescent="0.2">
      <c r="A184" s="2" t="s">
        <v>29</v>
      </c>
      <c r="B184" s="2" t="s">
        <v>31</v>
      </c>
      <c r="C184" s="2">
        <v>62</v>
      </c>
      <c r="D184" s="2" t="s">
        <v>94</v>
      </c>
      <c r="E184" s="2" t="s">
        <v>94</v>
      </c>
      <c r="F184" s="3" t="b">
        <f>TRUE()</f>
        <v>1</v>
      </c>
      <c r="G184" s="2" t="s">
        <v>104</v>
      </c>
      <c r="H184" s="2" t="str">
        <f t="shared" si="2"/>
        <v>gemini|threshold_large|62</v>
      </c>
    </row>
    <row r="185" spans="1:8" x14ac:dyDescent="0.2">
      <c r="A185" s="2" t="s">
        <v>29</v>
      </c>
      <c r="B185" s="2" t="s">
        <v>31</v>
      </c>
      <c r="C185" s="2">
        <v>63</v>
      </c>
      <c r="D185" s="2" t="s">
        <v>94</v>
      </c>
      <c r="E185" s="2" t="s">
        <v>94</v>
      </c>
      <c r="F185" s="3" t="b">
        <f>TRUE()</f>
        <v>1</v>
      </c>
      <c r="G185" s="2" t="s">
        <v>116</v>
      </c>
      <c r="H185" s="2" t="str">
        <f t="shared" si="2"/>
        <v>gemini|threshold_large|63</v>
      </c>
    </row>
    <row r="186" spans="1:8" x14ac:dyDescent="0.2">
      <c r="A186" s="2" t="s">
        <v>29</v>
      </c>
      <c r="B186" s="2" t="s">
        <v>31</v>
      </c>
      <c r="C186" s="2">
        <v>64</v>
      </c>
      <c r="D186" s="2" t="s">
        <v>94</v>
      </c>
      <c r="E186" s="2" t="s">
        <v>94</v>
      </c>
      <c r="F186" s="3" t="b">
        <f>TRUE()</f>
        <v>1</v>
      </c>
      <c r="G186" s="2" t="s">
        <v>105</v>
      </c>
      <c r="H186" s="2" t="str">
        <f t="shared" si="2"/>
        <v>gemini|threshold_large|64</v>
      </c>
    </row>
    <row r="187" spans="1:8" x14ac:dyDescent="0.2">
      <c r="A187" s="2" t="s">
        <v>29</v>
      </c>
      <c r="B187" s="2" t="s">
        <v>31</v>
      </c>
      <c r="C187" s="2">
        <v>65</v>
      </c>
      <c r="D187" s="2" t="s">
        <v>94</v>
      </c>
      <c r="E187" s="2" t="s">
        <v>94</v>
      </c>
      <c r="F187" s="3" t="b">
        <f>TRUE()</f>
        <v>1</v>
      </c>
      <c r="G187" s="2" t="s">
        <v>106</v>
      </c>
      <c r="H187" s="2" t="str">
        <f t="shared" si="2"/>
        <v>gemini|threshold_large|65</v>
      </c>
    </row>
    <row r="188" spans="1:8" x14ac:dyDescent="0.2">
      <c r="A188" s="2" t="s">
        <v>29</v>
      </c>
      <c r="B188" s="2" t="s">
        <v>31</v>
      </c>
      <c r="C188" s="2">
        <v>66</v>
      </c>
      <c r="D188" s="2" t="s">
        <v>94</v>
      </c>
      <c r="E188" s="2" t="s">
        <v>94</v>
      </c>
      <c r="F188" s="3" t="b">
        <f>TRUE()</f>
        <v>1</v>
      </c>
      <c r="G188" s="2" t="s">
        <v>117</v>
      </c>
      <c r="H188" s="2" t="str">
        <f t="shared" si="2"/>
        <v>gemini|threshold_large|66</v>
      </c>
    </row>
    <row r="189" spans="1:8" x14ac:dyDescent="0.2">
      <c r="A189" s="2" t="s">
        <v>29</v>
      </c>
      <c r="B189" s="2" t="s">
        <v>31</v>
      </c>
      <c r="C189" s="2">
        <v>67</v>
      </c>
      <c r="D189" s="2" t="s">
        <v>94</v>
      </c>
      <c r="E189" s="2" t="s">
        <v>94</v>
      </c>
      <c r="F189" s="3" t="b">
        <f>TRUE()</f>
        <v>1</v>
      </c>
      <c r="G189" s="2" t="s">
        <v>118</v>
      </c>
      <c r="H189" s="2" t="str">
        <f t="shared" si="2"/>
        <v>gemini|threshold_large|67</v>
      </c>
    </row>
    <row r="190" spans="1:8" x14ac:dyDescent="0.2">
      <c r="A190" s="2" t="s">
        <v>29</v>
      </c>
      <c r="B190" s="2" t="s">
        <v>31</v>
      </c>
      <c r="C190" s="2">
        <v>68</v>
      </c>
      <c r="D190" s="2" t="s">
        <v>94</v>
      </c>
      <c r="E190" s="2" t="s">
        <v>94</v>
      </c>
      <c r="F190" s="3" t="b">
        <f>TRUE()</f>
        <v>1</v>
      </c>
      <c r="G190" s="2" t="s">
        <v>119</v>
      </c>
      <c r="H190" s="2" t="str">
        <f t="shared" si="2"/>
        <v>gemini|threshold_large|68</v>
      </c>
    </row>
    <row r="191" spans="1:8" x14ac:dyDescent="0.2">
      <c r="A191" s="2" t="s">
        <v>30</v>
      </c>
      <c r="B191" s="2" t="s">
        <v>31</v>
      </c>
      <c r="C191" s="2">
        <v>1</v>
      </c>
      <c r="D191" s="2" t="s">
        <v>94</v>
      </c>
      <c r="E191" s="2" t="s">
        <v>28</v>
      </c>
      <c r="F191" s="4" t="b">
        <f>FALSE()</f>
        <v>0</v>
      </c>
      <c r="G191" s="2" t="s">
        <v>95</v>
      </c>
      <c r="H191" s="2" t="str">
        <f t="shared" si="2"/>
        <v>llama|threshold_large|1</v>
      </c>
    </row>
    <row r="192" spans="1:8" x14ac:dyDescent="0.2">
      <c r="A192" s="2" t="s">
        <v>30</v>
      </c>
      <c r="B192" s="2" t="s">
        <v>31</v>
      </c>
      <c r="C192" s="2">
        <v>11</v>
      </c>
      <c r="D192" s="2" t="s">
        <v>94</v>
      </c>
      <c r="E192" s="2" t="s">
        <v>28</v>
      </c>
      <c r="F192" s="4" t="b">
        <f>FALSE()</f>
        <v>0</v>
      </c>
      <c r="G192" s="2" t="s">
        <v>97</v>
      </c>
      <c r="H192" s="2" t="str">
        <f t="shared" si="2"/>
        <v>llama|threshold_large|11</v>
      </c>
    </row>
    <row r="193" spans="1:8" x14ac:dyDescent="0.2">
      <c r="A193" s="2" t="s">
        <v>30</v>
      </c>
      <c r="B193" s="2" t="s">
        <v>31</v>
      </c>
      <c r="C193" s="2">
        <v>12</v>
      </c>
      <c r="D193" s="2" t="s">
        <v>94</v>
      </c>
      <c r="E193" s="2" t="s">
        <v>28</v>
      </c>
      <c r="F193" s="4" t="b">
        <f>FALSE()</f>
        <v>0</v>
      </c>
      <c r="G193" s="2" t="s">
        <v>98</v>
      </c>
      <c r="H193" s="2" t="str">
        <f t="shared" si="2"/>
        <v>llama|threshold_large|12</v>
      </c>
    </row>
    <row r="194" spans="1:8" x14ac:dyDescent="0.2">
      <c r="A194" s="2" t="s">
        <v>30</v>
      </c>
      <c r="B194" s="2" t="s">
        <v>31</v>
      </c>
      <c r="C194" s="2">
        <v>13</v>
      </c>
      <c r="D194" s="2" t="s">
        <v>94</v>
      </c>
      <c r="E194" s="2" t="s">
        <v>28</v>
      </c>
      <c r="F194" s="4" t="b">
        <f>FALSE()</f>
        <v>0</v>
      </c>
      <c r="G194" s="2" t="s">
        <v>99</v>
      </c>
      <c r="H194" s="2" t="str">
        <f t="shared" ref="H194:H257" si="3">A194&amp;"|"&amp;B194&amp;"|"&amp;C194</f>
        <v>llama|threshold_large|13</v>
      </c>
    </row>
    <row r="195" spans="1:8" x14ac:dyDescent="0.2">
      <c r="A195" s="2" t="s">
        <v>30</v>
      </c>
      <c r="B195" s="2" t="s">
        <v>31</v>
      </c>
      <c r="C195" s="2">
        <v>14</v>
      </c>
      <c r="D195" s="2" t="s">
        <v>94</v>
      </c>
      <c r="E195" s="2" t="s">
        <v>28</v>
      </c>
      <c r="F195" s="4" t="b">
        <f>FALSE()</f>
        <v>0</v>
      </c>
      <c r="G195" s="2" t="s">
        <v>100</v>
      </c>
      <c r="H195" s="2" t="str">
        <f t="shared" si="3"/>
        <v>llama|threshold_large|14</v>
      </c>
    </row>
    <row r="196" spans="1:8" x14ac:dyDescent="0.2">
      <c r="A196" s="2" t="s">
        <v>30</v>
      </c>
      <c r="B196" s="2" t="s">
        <v>31</v>
      </c>
      <c r="C196" s="2">
        <v>15</v>
      </c>
      <c r="D196" s="2" t="s">
        <v>94</v>
      </c>
      <c r="E196" s="2" t="s">
        <v>28</v>
      </c>
      <c r="F196" s="4" t="b">
        <f>FALSE()</f>
        <v>0</v>
      </c>
      <c r="G196" s="2" t="s">
        <v>101</v>
      </c>
      <c r="H196" s="2" t="str">
        <f t="shared" si="3"/>
        <v>llama|threshold_large|15</v>
      </c>
    </row>
    <row r="197" spans="1:8" x14ac:dyDescent="0.2">
      <c r="A197" s="2" t="s">
        <v>30</v>
      </c>
      <c r="B197" s="2" t="s">
        <v>31</v>
      </c>
      <c r="C197" s="2">
        <v>16</v>
      </c>
      <c r="D197" s="2" t="s">
        <v>94</v>
      </c>
      <c r="E197" s="2" t="s">
        <v>28</v>
      </c>
      <c r="F197" s="4" t="b">
        <f>FALSE()</f>
        <v>0</v>
      </c>
      <c r="G197" s="2" t="s">
        <v>102</v>
      </c>
      <c r="H197" s="2" t="str">
        <f t="shared" si="3"/>
        <v>llama|threshold_large|16</v>
      </c>
    </row>
    <row r="198" spans="1:8" x14ac:dyDescent="0.2">
      <c r="A198" s="2" t="s">
        <v>30</v>
      </c>
      <c r="B198" s="2" t="s">
        <v>31</v>
      </c>
      <c r="C198" s="2">
        <v>17</v>
      </c>
      <c r="D198" s="2" t="s">
        <v>94</v>
      </c>
      <c r="E198" s="2" t="s">
        <v>28</v>
      </c>
      <c r="F198" s="4" t="b">
        <f>FALSE()</f>
        <v>0</v>
      </c>
      <c r="G198" s="2" t="s">
        <v>103</v>
      </c>
      <c r="H198" s="2" t="str">
        <f t="shared" si="3"/>
        <v>llama|threshold_large|17</v>
      </c>
    </row>
    <row r="199" spans="1:8" x14ac:dyDescent="0.2">
      <c r="A199" s="2" t="s">
        <v>30</v>
      </c>
      <c r="B199" s="2" t="s">
        <v>31</v>
      </c>
      <c r="C199" s="2">
        <v>18</v>
      </c>
      <c r="D199" s="2" t="s">
        <v>94</v>
      </c>
      <c r="E199" s="2" t="s">
        <v>28</v>
      </c>
      <c r="F199" s="4" t="b">
        <f>FALSE()</f>
        <v>0</v>
      </c>
      <c r="G199" s="2" t="s">
        <v>104</v>
      </c>
      <c r="H199" s="2" t="str">
        <f t="shared" si="3"/>
        <v>llama|threshold_large|18</v>
      </c>
    </row>
    <row r="200" spans="1:8" x14ac:dyDescent="0.2">
      <c r="A200" s="2" t="s">
        <v>30</v>
      </c>
      <c r="B200" s="2" t="s">
        <v>31</v>
      </c>
      <c r="C200" s="2">
        <v>19</v>
      </c>
      <c r="D200" s="2" t="s">
        <v>94</v>
      </c>
      <c r="E200" s="2" t="s">
        <v>28</v>
      </c>
      <c r="F200" s="4" t="b">
        <f>FALSE()</f>
        <v>0</v>
      </c>
      <c r="G200" s="2" t="s">
        <v>105</v>
      </c>
      <c r="H200" s="2" t="str">
        <f t="shared" si="3"/>
        <v>llama|threshold_large|19</v>
      </c>
    </row>
    <row r="201" spans="1:8" x14ac:dyDescent="0.2">
      <c r="A201" s="2" t="s">
        <v>30</v>
      </c>
      <c r="B201" s="2" t="s">
        <v>31</v>
      </c>
      <c r="C201" s="2">
        <v>20</v>
      </c>
      <c r="D201" s="2" t="s">
        <v>94</v>
      </c>
      <c r="E201" s="2" t="s">
        <v>28</v>
      </c>
      <c r="F201" s="4" t="b">
        <f>FALSE()</f>
        <v>0</v>
      </c>
      <c r="G201" s="2" t="s">
        <v>106</v>
      </c>
      <c r="H201" s="2" t="str">
        <f t="shared" si="3"/>
        <v>llama|threshold_large|20</v>
      </c>
    </row>
    <row r="202" spans="1:8" x14ac:dyDescent="0.2">
      <c r="A202" s="2" t="s">
        <v>30</v>
      </c>
      <c r="B202" s="2" t="s">
        <v>31</v>
      </c>
      <c r="C202" s="2">
        <v>21</v>
      </c>
      <c r="D202" s="2" t="s">
        <v>96</v>
      </c>
      <c r="E202" s="2" t="s">
        <v>28</v>
      </c>
      <c r="F202" s="4" t="b">
        <f>FALSE()</f>
        <v>0</v>
      </c>
      <c r="G202" s="2" t="s">
        <v>107</v>
      </c>
      <c r="H202" s="2" t="str">
        <f t="shared" si="3"/>
        <v>llama|threshold_large|21</v>
      </c>
    </row>
    <row r="203" spans="1:8" x14ac:dyDescent="0.2">
      <c r="A203" s="2" t="s">
        <v>30</v>
      </c>
      <c r="B203" s="2" t="s">
        <v>31</v>
      </c>
      <c r="C203" s="2">
        <v>22</v>
      </c>
      <c r="D203" s="2" t="s">
        <v>94</v>
      </c>
      <c r="E203" s="2" t="s">
        <v>28</v>
      </c>
      <c r="F203" s="4" t="b">
        <f>FALSE()</f>
        <v>0</v>
      </c>
      <c r="G203" s="2" t="s">
        <v>108</v>
      </c>
      <c r="H203" s="2" t="str">
        <f t="shared" si="3"/>
        <v>llama|threshold_large|22</v>
      </c>
    </row>
    <row r="204" spans="1:8" x14ac:dyDescent="0.2">
      <c r="A204" s="2" t="s">
        <v>30</v>
      </c>
      <c r="B204" s="2" t="s">
        <v>31</v>
      </c>
      <c r="C204" s="2">
        <v>31</v>
      </c>
      <c r="D204" s="2" t="s">
        <v>94</v>
      </c>
      <c r="E204" s="2" t="s">
        <v>28</v>
      </c>
      <c r="F204" s="4" t="b">
        <f>FALSE()</f>
        <v>0</v>
      </c>
      <c r="G204" s="2" t="s">
        <v>109</v>
      </c>
      <c r="H204" s="2" t="str">
        <f t="shared" si="3"/>
        <v>llama|threshold_large|31</v>
      </c>
    </row>
    <row r="205" spans="1:8" x14ac:dyDescent="0.2">
      <c r="A205" s="2" t="s">
        <v>30</v>
      </c>
      <c r="B205" s="2" t="s">
        <v>31</v>
      </c>
      <c r="C205" s="2">
        <v>32</v>
      </c>
      <c r="D205" s="2" t="s">
        <v>94</v>
      </c>
      <c r="E205" s="2" t="s">
        <v>28</v>
      </c>
      <c r="F205" s="4" t="b">
        <f>FALSE()</f>
        <v>0</v>
      </c>
      <c r="G205" s="2" t="s">
        <v>111</v>
      </c>
      <c r="H205" s="2" t="str">
        <f t="shared" si="3"/>
        <v>llama|threshold_large|32</v>
      </c>
    </row>
    <row r="206" spans="1:8" x14ac:dyDescent="0.2">
      <c r="A206" s="2" t="s">
        <v>30</v>
      </c>
      <c r="B206" s="2" t="s">
        <v>31</v>
      </c>
      <c r="C206" s="2">
        <v>41</v>
      </c>
      <c r="D206" s="2" t="s">
        <v>96</v>
      </c>
      <c r="E206" s="2" t="s">
        <v>28</v>
      </c>
      <c r="F206" s="4" t="b">
        <f>FALSE()</f>
        <v>0</v>
      </c>
      <c r="G206" s="2" t="s">
        <v>112</v>
      </c>
      <c r="H206" s="2" t="str">
        <f t="shared" si="3"/>
        <v>llama|threshold_large|41</v>
      </c>
    </row>
    <row r="207" spans="1:8" x14ac:dyDescent="0.2">
      <c r="A207" s="2" t="s">
        <v>30</v>
      </c>
      <c r="B207" s="2" t="s">
        <v>31</v>
      </c>
      <c r="C207" s="2">
        <v>42</v>
      </c>
      <c r="D207" s="2" t="s">
        <v>110</v>
      </c>
      <c r="E207" s="2" t="s">
        <v>28</v>
      </c>
      <c r="F207" s="4" t="b">
        <f>FALSE()</f>
        <v>0</v>
      </c>
      <c r="G207" s="2" t="s">
        <v>113</v>
      </c>
      <c r="H207" s="2" t="str">
        <f t="shared" si="3"/>
        <v>llama|threshold_large|42</v>
      </c>
    </row>
    <row r="208" spans="1:8" x14ac:dyDescent="0.2">
      <c r="A208" s="2" t="s">
        <v>30</v>
      </c>
      <c r="B208" s="2" t="s">
        <v>31</v>
      </c>
      <c r="C208" s="2">
        <v>51</v>
      </c>
      <c r="D208" s="2" t="s">
        <v>94</v>
      </c>
      <c r="E208" s="2" t="s">
        <v>28</v>
      </c>
      <c r="F208" s="4" t="b">
        <f>FALSE()</f>
        <v>0</v>
      </c>
      <c r="G208" s="2" t="s">
        <v>114</v>
      </c>
      <c r="H208" s="2" t="str">
        <f t="shared" si="3"/>
        <v>llama|threshold_large|51</v>
      </c>
    </row>
    <row r="209" spans="1:8" x14ac:dyDescent="0.2">
      <c r="A209" s="2" t="s">
        <v>30</v>
      </c>
      <c r="B209" s="2" t="s">
        <v>31</v>
      </c>
      <c r="C209" s="2">
        <v>52</v>
      </c>
      <c r="D209" s="2" t="s">
        <v>94</v>
      </c>
      <c r="E209" s="2" t="s">
        <v>28</v>
      </c>
      <c r="F209" s="4" t="b">
        <f>FALSE()</f>
        <v>0</v>
      </c>
      <c r="G209" s="2" t="s">
        <v>115</v>
      </c>
      <c r="H209" s="2" t="str">
        <f t="shared" si="3"/>
        <v>llama|threshold_large|52</v>
      </c>
    </row>
    <row r="210" spans="1:8" x14ac:dyDescent="0.2">
      <c r="A210" s="2" t="s">
        <v>30</v>
      </c>
      <c r="B210" s="2" t="s">
        <v>31</v>
      </c>
      <c r="C210" s="2">
        <v>61</v>
      </c>
      <c r="D210" s="2" t="s">
        <v>94</v>
      </c>
      <c r="E210" s="2" t="s">
        <v>28</v>
      </c>
      <c r="F210" s="4" t="b">
        <f>FALSE()</f>
        <v>0</v>
      </c>
      <c r="G210" s="2" t="s">
        <v>103</v>
      </c>
      <c r="H210" s="2" t="str">
        <f t="shared" si="3"/>
        <v>llama|threshold_large|61</v>
      </c>
    </row>
    <row r="211" spans="1:8" x14ac:dyDescent="0.2">
      <c r="A211" s="2" t="s">
        <v>30</v>
      </c>
      <c r="B211" s="2" t="s">
        <v>31</v>
      </c>
      <c r="C211" s="2">
        <v>62</v>
      </c>
      <c r="D211" s="2" t="s">
        <v>94</v>
      </c>
      <c r="E211" s="2" t="s">
        <v>28</v>
      </c>
      <c r="F211" s="4" t="b">
        <f>FALSE()</f>
        <v>0</v>
      </c>
      <c r="G211" s="2" t="s">
        <v>104</v>
      </c>
      <c r="H211" s="2" t="str">
        <f t="shared" si="3"/>
        <v>llama|threshold_large|62</v>
      </c>
    </row>
    <row r="212" spans="1:8" x14ac:dyDescent="0.2">
      <c r="A212" s="2" t="s">
        <v>30</v>
      </c>
      <c r="B212" s="2" t="s">
        <v>31</v>
      </c>
      <c r="C212" s="2">
        <v>63</v>
      </c>
      <c r="D212" s="2" t="s">
        <v>94</v>
      </c>
      <c r="E212" s="2" t="s">
        <v>28</v>
      </c>
      <c r="F212" s="4" t="b">
        <f>FALSE()</f>
        <v>0</v>
      </c>
      <c r="G212" s="2" t="s">
        <v>116</v>
      </c>
      <c r="H212" s="2" t="str">
        <f t="shared" si="3"/>
        <v>llama|threshold_large|63</v>
      </c>
    </row>
    <row r="213" spans="1:8" x14ac:dyDescent="0.2">
      <c r="A213" s="2" t="s">
        <v>30</v>
      </c>
      <c r="B213" s="2" t="s">
        <v>31</v>
      </c>
      <c r="C213" s="2">
        <v>64</v>
      </c>
      <c r="D213" s="2" t="s">
        <v>94</v>
      </c>
      <c r="E213" s="2" t="s">
        <v>28</v>
      </c>
      <c r="F213" s="4" t="b">
        <f>FALSE()</f>
        <v>0</v>
      </c>
      <c r="G213" s="2" t="s">
        <v>105</v>
      </c>
      <c r="H213" s="2" t="str">
        <f t="shared" si="3"/>
        <v>llama|threshold_large|64</v>
      </c>
    </row>
    <row r="214" spans="1:8" x14ac:dyDescent="0.2">
      <c r="A214" s="2" t="s">
        <v>30</v>
      </c>
      <c r="B214" s="2" t="s">
        <v>31</v>
      </c>
      <c r="C214" s="2">
        <v>65</v>
      </c>
      <c r="D214" s="2" t="s">
        <v>94</v>
      </c>
      <c r="E214" s="2" t="s">
        <v>28</v>
      </c>
      <c r="F214" s="4" t="b">
        <f>FALSE()</f>
        <v>0</v>
      </c>
      <c r="G214" s="2" t="s">
        <v>106</v>
      </c>
      <c r="H214" s="2" t="str">
        <f t="shared" si="3"/>
        <v>llama|threshold_large|65</v>
      </c>
    </row>
    <row r="215" spans="1:8" x14ac:dyDescent="0.2">
      <c r="A215" s="2" t="s">
        <v>30</v>
      </c>
      <c r="B215" s="2" t="s">
        <v>31</v>
      </c>
      <c r="C215" s="2">
        <v>66</v>
      </c>
      <c r="D215" s="2" t="s">
        <v>94</v>
      </c>
      <c r="E215" s="2" t="s">
        <v>28</v>
      </c>
      <c r="F215" s="4" t="b">
        <f>FALSE()</f>
        <v>0</v>
      </c>
      <c r="G215" s="2" t="s">
        <v>117</v>
      </c>
      <c r="H215" s="2" t="str">
        <f t="shared" si="3"/>
        <v>llama|threshold_large|66</v>
      </c>
    </row>
    <row r="216" spans="1:8" x14ac:dyDescent="0.2">
      <c r="A216" s="2" t="s">
        <v>30</v>
      </c>
      <c r="B216" s="2" t="s">
        <v>31</v>
      </c>
      <c r="C216" s="2">
        <v>67</v>
      </c>
      <c r="D216" s="2" t="s">
        <v>94</v>
      </c>
      <c r="E216" s="2" t="s">
        <v>28</v>
      </c>
      <c r="F216" s="4" t="b">
        <f>FALSE()</f>
        <v>0</v>
      </c>
      <c r="G216" s="2" t="s">
        <v>118</v>
      </c>
      <c r="H216" s="2" t="str">
        <f t="shared" si="3"/>
        <v>llama|threshold_large|67</v>
      </c>
    </row>
    <row r="217" spans="1:8" x14ac:dyDescent="0.2">
      <c r="A217" s="2" t="s">
        <v>30</v>
      </c>
      <c r="B217" s="2" t="s">
        <v>31</v>
      </c>
      <c r="C217" s="2">
        <v>68</v>
      </c>
      <c r="D217" s="2" t="s">
        <v>94</v>
      </c>
      <c r="E217" s="2" t="s">
        <v>28</v>
      </c>
      <c r="F217" s="4" t="b">
        <f>FALSE()</f>
        <v>0</v>
      </c>
      <c r="G217" s="2" t="s">
        <v>119</v>
      </c>
      <c r="H217" s="2" t="str">
        <f t="shared" si="3"/>
        <v>llama|threshold_large|68</v>
      </c>
    </row>
    <row r="218" spans="1:8" x14ac:dyDescent="0.2">
      <c r="A218" s="2" t="s">
        <v>8</v>
      </c>
      <c r="B218" s="2" t="s">
        <v>32</v>
      </c>
      <c r="C218" s="2">
        <v>1</v>
      </c>
      <c r="D218" s="2" t="s">
        <v>110</v>
      </c>
      <c r="E218" s="2" t="s">
        <v>110</v>
      </c>
      <c r="F218" s="3" t="b">
        <f>TRUE()</f>
        <v>1</v>
      </c>
      <c r="G218" s="2" t="s">
        <v>95</v>
      </c>
      <c r="H218" s="2" t="str">
        <f t="shared" si="3"/>
        <v>gpt|action|1</v>
      </c>
    </row>
    <row r="219" spans="1:8" x14ac:dyDescent="0.2">
      <c r="A219" s="2" t="s">
        <v>8</v>
      </c>
      <c r="B219" s="2" t="s">
        <v>32</v>
      </c>
      <c r="C219" s="2">
        <v>11</v>
      </c>
      <c r="D219" s="2" t="s">
        <v>110</v>
      </c>
      <c r="E219" s="2" t="s">
        <v>110</v>
      </c>
      <c r="F219" s="3" t="b">
        <f>TRUE()</f>
        <v>1</v>
      </c>
      <c r="G219" s="2" t="s">
        <v>97</v>
      </c>
      <c r="H219" s="2" t="str">
        <f t="shared" si="3"/>
        <v>gpt|action|11</v>
      </c>
    </row>
    <row r="220" spans="1:8" x14ac:dyDescent="0.2">
      <c r="A220" s="2" t="s">
        <v>8</v>
      </c>
      <c r="B220" s="2" t="s">
        <v>32</v>
      </c>
      <c r="C220" s="2">
        <v>12</v>
      </c>
      <c r="D220" s="2" t="s">
        <v>96</v>
      </c>
      <c r="E220" s="2" t="s">
        <v>110</v>
      </c>
      <c r="F220" s="4" t="b">
        <f>FALSE()</f>
        <v>0</v>
      </c>
      <c r="G220" s="2" t="s">
        <v>98</v>
      </c>
      <c r="H220" s="2" t="str">
        <f t="shared" si="3"/>
        <v>gpt|action|12</v>
      </c>
    </row>
    <row r="221" spans="1:8" x14ac:dyDescent="0.2">
      <c r="A221" s="2" t="s">
        <v>8</v>
      </c>
      <c r="B221" s="2" t="s">
        <v>32</v>
      </c>
      <c r="C221" s="2">
        <v>13</v>
      </c>
      <c r="D221" s="2" t="s">
        <v>110</v>
      </c>
      <c r="E221" s="2" t="s">
        <v>110</v>
      </c>
      <c r="F221" s="3" t="b">
        <f>TRUE()</f>
        <v>1</v>
      </c>
      <c r="G221" s="2" t="s">
        <v>99</v>
      </c>
      <c r="H221" s="2" t="str">
        <f t="shared" si="3"/>
        <v>gpt|action|13</v>
      </c>
    </row>
    <row r="222" spans="1:8" x14ac:dyDescent="0.2">
      <c r="A222" s="2" t="s">
        <v>8</v>
      </c>
      <c r="B222" s="2" t="s">
        <v>32</v>
      </c>
      <c r="C222" s="2">
        <v>14</v>
      </c>
      <c r="D222" s="2" t="s">
        <v>96</v>
      </c>
      <c r="E222" s="2" t="s">
        <v>96</v>
      </c>
      <c r="F222" s="3" t="b">
        <f>TRUE()</f>
        <v>1</v>
      </c>
      <c r="G222" s="2" t="s">
        <v>100</v>
      </c>
      <c r="H222" s="2" t="str">
        <f t="shared" si="3"/>
        <v>gpt|action|14</v>
      </c>
    </row>
    <row r="223" spans="1:8" x14ac:dyDescent="0.2">
      <c r="A223" s="2" t="s">
        <v>8</v>
      </c>
      <c r="B223" s="2" t="s">
        <v>32</v>
      </c>
      <c r="C223" s="2">
        <v>15</v>
      </c>
      <c r="D223" s="2" t="s">
        <v>110</v>
      </c>
      <c r="E223" s="2" t="s">
        <v>110</v>
      </c>
      <c r="F223" s="3" t="b">
        <f>TRUE()</f>
        <v>1</v>
      </c>
      <c r="G223" s="2" t="s">
        <v>101</v>
      </c>
      <c r="H223" s="2" t="str">
        <f t="shared" si="3"/>
        <v>gpt|action|15</v>
      </c>
    </row>
    <row r="224" spans="1:8" x14ac:dyDescent="0.2">
      <c r="A224" s="2" t="s">
        <v>8</v>
      </c>
      <c r="B224" s="2" t="s">
        <v>32</v>
      </c>
      <c r="C224" s="2">
        <v>16</v>
      </c>
      <c r="D224" s="2" t="s">
        <v>96</v>
      </c>
      <c r="E224" s="2" t="s">
        <v>96</v>
      </c>
      <c r="F224" s="3" t="b">
        <f>TRUE()</f>
        <v>1</v>
      </c>
      <c r="G224" s="2" t="s">
        <v>102</v>
      </c>
      <c r="H224" s="2" t="str">
        <f t="shared" si="3"/>
        <v>gpt|action|16</v>
      </c>
    </row>
    <row r="225" spans="1:8" x14ac:dyDescent="0.2">
      <c r="A225" s="2" t="s">
        <v>8</v>
      </c>
      <c r="B225" s="2" t="s">
        <v>32</v>
      </c>
      <c r="C225" s="2">
        <v>17</v>
      </c>
      <c r="D225" s="2" t="s">
        <v>110</v>
      </c>
      <c r="E225" s="2" t="s">
        <v>110</v>
      </c>
      <c r="F225" s="3" t="b">
        <f>TRUE()</f>
        <v>1</v>
      </c>
      <c r="G225" s="2" t="s">
        <v>103</v>
      </c>
      <c r="H225" s="2" t="str">
        <f t="shared" si="3"/>
        <v>gpt|action|17</v>
      </c>
    </row>
    <row r="226" spans="1:8" x14ac:dyDescent="0.2">
      <c r="A226" s="2" t="s">
        <v>8</v>
      </c>
      <c r="B226" s="2" t="s">
        <v>32</v>
      </c>
      <c r="C226" s="2">
        <v>18</v>
      </c>
      <c r="D226" s="2" t="s">
        <v>96</v>
      </c>
      <c r="E226" s="2" t="s">
        <v>110</v>
      </c>
      <c r="F226" s="4" t="b">
        <f>FALSE()</f>
        <v>0</v>
      </c>
      <c r="G226" s="2" t="s">
        <v>104</v>
      </c>
      <c r="H226" s="2" t="str">
        <f t="shared" si="3"/>
        <v>gpt|action|18</v>
      </c>
    </row>
    <row r="227" spans="1:8" x14ac:dyDescent="0.2">
      <c r="A227" s="2" t="s">
        <v>8</v>
      </c>
      <c r="B227" s="2" t="s">
        <v>32</v>
      </c>
      <c r="C227" s="2">
        <v>19</v>
      </c>
      <c r="D227" s="2" t="s">
        <v>110</v>
      </c>
      <c r="E227" s="2" t="s">
        <v>110</v>
      </c>
      <c r="F227" s="3" t="b">
        <f>TRUE()</f>
        <v>1</v>
      </c>
      <c r="G227" s="2" t="s">
        <v>105</v>
      </c>
      <c r="H227" s="2" t="str">
        <f t="shared" si="3"/>
        <v>gpt|action|19</v>
      </c>
    </row>
    <row r="228" spans="1:8" x14ac:dyDescent="0.2">
      <c r="A228" s="2" t="s">
        <v>8</v>
      </c>
      <c r="B228" s="2" t="s">
        <v>32</v>
      </c>
      <c r="C228" s="2">
        <v>20</v>
      </c>
      <c r="D228" s="2" t="s">
        <v>96</v>
      </c>
      <c r="E228" s="2" t="s">
        <v>96</v>
      </c>
      <c r="F228" s="3" t="b">
        <f>TRUE()</f>
        <v>1</v>
      </c>
      <c r="G228" s="2" t="s">
        <v>106</v>
      </c>
      <c r="H228" s="2" t="str">
        <f t="shared" si="3"/>
        <v>gpt|action|20</v>
      </c>
    </row>
    <row r="229" spans="1:8" x14ac:dyDescent="0.2">
      <c r="A229" s="2" t="s">
        <v>8</v>
      </c>
      <c r="B229" s="2" t="s">
        <v>32</v>
      </c>
      <c r="C229" s="2">
        <v>21</v>
      </c>
      <c r="D229" s="2" t="s">
        <v>96</v>
      </c>
      <c r="E229" s="2" t="s">
        <v>96</v>
      </c>
      <c r="F229" s="3" t="b">
        <f>TRUE()</f>
        <v>1</v>
      </c>
      <c r="G229" s="2" t="s">
        <v>107</v>
      </c>
      <c r="H229" s="2" t="str">
        <f t="shared" si="3"/>
        <v>gpt|action|21</v>
      </c>
    </row>
    <row r="230" spans="1:8" x14ac:dyDescent="0.2">
      <c r="A230" s="2" t="s">
        <v>8</v>
      </c>
      <c r="B230" s="2" t="s">
        <v>32</v>
      </c>
      <c r="C230" s="2">
        <v>22</v>
      </c>
      <c r="D230" s="2" t="s">
        <v>110</v>
      </c>
      <c r="E230" s="2" t="s">
        <v>110</v>
      </c>
      <c r="F230" s="3" t="b">
        <f>TRUE()</f>
        <v>1</v>
      </c>
      <c r="G230" s="2" t="s">
        <v>108</v>
      </c>
      <c r="H230" s="2" t="str">
        <f t="shared" si="3"/>
        <v>gpt|action|22</v>
      </c>
    </row>
    <row r="231" spans="1:8" x14ac:dyDescent="0.2">
      <c r="A231" s="2" t="s">
        <v>8</v>
      </c>
      <c r="B231" s="2" t="s">
        <v>32</v>
      </c>
      <c r="C231" s="2">
        <v>31</v>
      </c>
      <c r="D231" s="2" t="s">
        <v>96</v>
      </c>
      <c r="E231" s="2" t="s">
        <v>110</v>
      </c>
      <c r="F231" s="4" t="b">
        <f>FALSE()</f>
        <v>0</v>
      </c>
      <c r="G231" s="2" t="s">
        <v>109</v>
      </c>
      <c r="H231" s="2" t="str">
        <f t="shared" si="3"/>
        <v>gpt|action|31</v>
      </c>
    </row>
    <row r="232" spans="1:8" x14ac:dyDescent="0.2">
      <c r="A232" s="2" t="s">
        <v>8</v>
      </c>
      <c r="B232" s="2" t="s">
        <v>32</v>
      </c>
      <c r="C232" s="2">
        <v>32</v>
      </c>
      <c r="D232" s="2" t="s">
        <v>94</v>
      </c>
      <c r="E232" s="2" t="s">
        <v>94</v>
      </c>
      <c r="F232" s="3" t="b">
        <f>TRUE()</f>
        <v>1</v>
      </c>
      <c r="G232" s="2" t="s">
        <v>111</v>
      </c>
      <c r="H232" s="2" t="str">
        <f t="shared" si="3"/>
        <v>gpt|action|32</v>
      </c>
    </row>
    <row r="233" spans="1:8" x14ac:dyDescent="0.2">
      <c r="A233" s="2" t="s">
        <v>8</v>
      </c>
      <c r="B233" s="2" t="s">
        <v>32</v>
      </c>
      <c r="C233" s="2">
        <v>41</v>
      </c>
      <c r="D233" s="2" t="s">
        <v>94</v>
      </c>
      <c r="E233" s="2" t="s">
        <v>110</v>
      </c>
      <c r="F233" s="4" t="b">
        <f>FALSE()</f>
        <v>0</v>
      </c>
      <c r="G233" s="2" t="s">
        <v>112</v>
      </c>
      <c r="H233" s="2" t="str">
        <f t="shared" si="3"/>
        <v>gpt|action|41</v>
      </c>
    </row>
    <row r="234" spans="1:8" x14ac:dyDescent="0.2">
      <c r="A234" s="2" t="s">
        <v>8</v>
      </c>
      <c r="B234" s="2" t="s">
        <v>32</v>
      </c>
      <c r="C234" s="2">
        <v>42</v>
      </c>
      <c r="D234" s="2" t="s">
        <v>94</v>
      </c>
      <c r="E234" s="2" t="s">
        <v>94</v>
      </c>
      <c r="F234" s="3" t="b">
        <f>TRUE()</f>
        <v>1</v>
      </c>
      <c r="G234" s="2" t="s">
        <v>113</v>
      </c>
      <c r="H234" s="2" t="str">
        <f t="shared" si="3"/>
        <v>gpt|action|42</v>
      </c>
    </row>
    <row r="235" spans="1:8" x14ac:dyDescent="0.2">
      <c r="A235" s="2" t="s">
        <v>8</v>
      </c>
      <c r="B235" s="2" t="s">
        <v>32</v>
      </c>
      <c r="C235" s="2">
        <v>51</v>
      </c>
      <c r="D235" s="2" t="s">
        <v>96</v>
      </c>
      <c r="E235" s="2" t="s">
        <v>110</v>
      </c>
      <c r="F235" s="4" t="b">
        <f>FALSE()</f>
        <v>0</v>
      </c>
      <c r="G235" s="2" t="s">
        <v>114</v>
      </c>
      <c r="H235" s="2" t="str">
        <f t="shared" si="3"/>
        <v>gpt|action|51</v>
      </c>
    </row>
    <row r="236" spans="1:8" x14ac:dyDescent="0.2">
      <c r="A236" s="2" t="s">
        <v>8</v>
      </c>
      <c r="B236" s="2" t="s">
        <v>32</v>
      </c>
      <c r="C236" s="2">
        <v>52</v>
      </c>
      <c r="D236" s="2" t="s">
        <v>96</v>
      </c>
      <c r="E236" s="2" t="s">
        <v>110</v>
      </c>
      <c r="F236" s="4" t="b">
        <f>FALSE()</f>
        <v>0</v>
      </c>
      <c r="G236" s="2" t="s">
        <v>115</v>
      </c>
      <c r="H236" s="2" t="str">
        <f t="shared" si="3"/>
        <v>gpt|action|52</v>
      </c>
    </row>
    <row r="237" spans="1:8" x14ac:dyDescent="0.2">
      <c r="A237" s="2" t="s">
        <v>8</v>
      </c>
      <c r="B237" s="2" t="s">
        <v>32</v>
      </c>
      <c r="C237" s="2">
        <v>61</v>
      </c>
      <c r="D237" s="2" t="s">
        <v>110</v>
      </c>
      <c r="E237" s="2" t="s">
        <v>110</v>
      </c>
      <c r="F237" s="3" t="b">
        <f>TRUE()</f>
        <v>1</v>
      </c>
      <c r="G237" s="2" t="s">
        <v>103</v>
      </c>
      <c r="H237" s="2" t="str">
        <f t="shared" si="3"/>
        <v>gpt|action|61</v>
      </c>
    </row>
    <row r="238" spans="1:8" x14ac:dyDescent="0.2">
      <c r="A238" s="2" t="s">
        <v>8</v>
      </c>
      <c r="B238" s="2" t="s">
        <v>32</v>
      </c>
      <c r="C238" s="2">
        <v>62</v>
      </c>
      <c r="D238" s="2" t="s">
        <v>96</v>
      </c>
      <c r="E238" s="2" t="s">
        <v>110</v>
      </c>
      <c r="F238" s="4" t="b">
        <f>FALSE()</f>
        <v>0</v>
      </c>
      <c r="G238" s="2" t="s">
        <v>104</v>
      </c>
      <c r="H238" s="2" t="str">
        <f t="shared" si="3"/>
        <v>gpt|action|62</v>
      </c>
    </row>
    <row r="239" spans="1:8" x14ac:dyDescent="0.2">
      <c r="A239" s="2" t="s">
        <v>8</v>
      </c>
      <c r="B239" s="2" t="s">
        <v>32</v>
      </c>
      <c r="C239" s="2">
        <v>63</v>
      </c>
      <c r="D239" s="2" t="s">
        <v>96</v>
      </c>
      <c r="E239" s="2" t="s">
        <v>96</v>
      </c>
      <c r="F239" s="3" t="b">
        <f>TRUE()</f>
        <v>1</v>
      </c>
      <c r="G239" s="2" t="s">
        <v>116</v>
      </c>
      <c r="H239" s="2" t="str">
        <f t="shared" si="3"/>
        <v>gpt|action|63</v>
      </c>
    </row>
    <row r="240" spans="1:8" x14ac:dyDescent="0.2">
      <c r="A240" s="2" t="s">
        <v>8</v>
      </c>
      <c r="B240" s="2" t="s">
        <v>32</v>
      </c>
      <c r="C240" s="2">
        <v>64</v>
      </c>
      <c r="D240" s="2" t="s">
        <v>110</v>
      </c>
      <c r="E240" s="2" t="s">
        <v>94</v>
      </c>
      <c r="F240" s="4" t="b">
        <f>FALSE()</f>
        <v>0</v>
      </c>
      <c r="G240" s="2" t="s">
        <v>105</v>
      </c>
      <c r="H240" s="2" t="str">
        <f t="shared" si="3"/>
        <v>gpt|action|64</v>
      </c>
    </row>
    <row r="241" spans="1:8" x14ac:dyDescent="0.2">
      <c r="A241" s="2" t="s">
        <v>8</v>
      </c>
      <c r="B241" s="2" t="s">
        <v>32</v>
      </c>
      <c r="C241" s="2">
        <v>65</v>
      </c>
      <c r="D241" s="2" t="s">
        <v>96</v>
      </c>
      <c r="E241" s="2" t="s">
        <v>96</v>
      </c>
      <c r="F241" s="3" t="b">
        <f>TRUE()</f>
        <v>1</v>
      </c>
      <c r="G241" s="2" t="s">
        <v>106</v>
      </c>
      <c r="H241" s="2" t="str">
        <f t="shared" si="3"/>
        <v>gpt|action|65</v>
      </c>
    </row>
    <row r="242" spans="1:8" x14ac:dyDescent="0.2">
      <c r="A242" s="2" t="s">
        <v>8</v>
      </c>
      <c r="B242" s="2" t="s">
        <v>32</v>
      </c>
      <c r="C242" s="2">
        <v>66</v>
      </c>
      <c r="D242" s="2" t="s">
        <v>110</v>
      </c>
      <c r="E242" s="2" t="s">
        <v>110</v>
      </c>
      <c r="F242" s="3" t="b">
        <f>TRUE()</f>
        <v>1</v>
      </c>
      <c r="G242" s="2" t="s">
        <v>117</v>
      </c>
      <c r="H242" s="2" t="str">
        <f t="shared" si="3"/>
        <v>gpt|action|66</v>
      </c>
    </row>
    <row r="243" spans="1:8" x14ac:dyDescent="0.2">
      <c r="A243" s="2" t="s">
        <v>8</v>
      </c>
      <c r="B243" s="2" t="s">
        <v>32</v>
      </c>
      <c r="C243" s="2">
        <v>67</v>
      </c>
      <c r="D243" s="2" t="s">
        <v>96</v>
      </c>
      <c r="E243" s="2" t="s">
        <v>96</v>
      </c>
      <c r="F243" s="3" t="b">
        <f>TRUE()</f>
        <v>1</v>
      </c>
      <c r="G243" s="2" t="s">
        <v>118</v>
      </c>
      <c r="H243" s="2" t="str">
        <f t="shared" si="3"/>
        <v>gpt|action|67</v>
      </c>
    </row>
    <row r="244" spans="1:8" x14ac:dyDescent="0.2">
      <c r="A244" s="2" t="s">
        <v>8</v>
      </c>
      <c r="B244" s="2" t="s">
        <v>32</v>
      </c>
      <c r="C244" s="2">
        <v>68</v>
      </c>
      <c r="D244" s="2" t="s">
        <v>110</v>
      </c>
      <c r="E244" s="2" t="s">
        <v>110</v>
      </c>
      <c r="F244" s="3" t="b">
        <f>TRUE()</f>
        <v>1</v>
      </c>
      <c r="G244" s="2" t="s">
        <v>119</v>
      </c>
      <c r="H244" s="2" t="str">
        <f t="shared" si="3"/>
        <v>gpt|action|68</v>
      </c>
    </row>
    <row r="245" spans="1:8" x14ac:dyDescent="0.2">
      <c r="A245" s="2" t="s">
        <v>27</v>
      </c>
      <c r="B245" s="2" t="s">
        <v>32</v>
      </c>
      <c r="C245" s="2">
        <v>1</v>
      </c>
      <c r="D245" s="2" t="s">
        <v>110</v>
      </c>
      <c r="E245" s="2" t="s">
        <v>28</v>
      </c>
      <c r="F245" s="4" t="b">
        <f>FALSE()</f>
        <v>0</v>
      </c>
      <c r="G245" s="2" t="s">
        <v>95</v>
      </c>
      <c r="H245" s="2" t="str">
        <f t="shared" si="3"/>
        <v>claude|action|1</v>
      </c>
    </row>
    <row r="246" spans="1:8" x14ac:dyDescent="0.2">
      <c r="A246" s="2" t="s">
        <v>27</v>
      </c>
      <c r="B246" s="2" t="s">
        <v>32</v>
      </c>
      <c r="C246" s="2">
        <v>11</v>
      </c>
      <c r="D246" s="2" t="s">
        <v>110</v>
      </c>
      <c r="E246" s="2" t="s">
        <v>28</v>
      </c>
      <c r="F246" s="4" t="b">
        <f>FALSE()</f>
        <v>0</v>
      </c>
      <c r="G246" s="2" t="s">
        <v>97</v>
      </c>
      <c r="H246" s="2" t="str">
        <f t="shared" si="3"/>
        <v>claude|action|11</v>
      </c>
    </row>
    <row r="247" spans="1:8" x14ac:dyDescent="0.2">
      <c r="A247" s="2" t="s">
        <v>27</v>
      </c>
      <c r="B247" s="2" t="s">
        <v>32</v>
      </c>
      <c r="C247" s="2">
        <v>12</v>
      </c>
      <c r="D247" s="2" t="s">
        <v>96</v>
      </c>
      <c r="E247" s="2" t="s">
        <v>28</v>
      </c>
      <c r="F247" s="4" t="b">
        <f>FALSE()</f>
        <v>0</v>
      </c>
      <c r="G247" s="2" t="s">
        <v>98</v>
      </c>
      <c r="H247" s="2" t="str">
        <f t="shared" si="3"/>
        <v>claude|action|12</v>
      </c>
    </row>
    <row r="248" spans="1:8" x14ac:dyDescent="0.2">
      <c r="A248" s="2" t="s">
        <v>27</v>
      </c>
      <c r="B248" s="2" t="s">
        <v>32</v>
      </c>
      <c r="C248" s="2">
        <v>13</v>
      </c>
      <c r="D248" s="2" t="s">
        <v>110</v>
      </c>
      <c r="E248" s="2" t="s">
        <v>28</v>
      </c>
      <c r="F248" s="4" t="b">
        <f>FALSE()</f>
        <v>0</v>
      </c>
      <c r="G248" s="2" t="s">
        <v>99</v>
      </c>
      <c r="H248" s="2" t="str">
        <f t="shared" si="3"/>
        <v>claude|action|13</v>
      </c>
    </row>
    <row r="249" spans="1:8" x14ac:dyDescent="0.2">
      <c r="A249" s="2" t="s">
        <v>27</v>
      </c>
      <c r="B249" s="2" t="s">
        <v>32</v>
      </c>
      <c r="C249" s="2">
        <v>14</v>
      </c>
      <c r="D249" s="2" t="s">
        <v>96</v>
      </c>
      <c r="E249" s="2" t="s">
        <v>28</v>
      </c>
      <c r="F249" s="4" t="b">
        <f>FALSE()</f>
        <v>0</v>
      </c>
      <c r="G249" s="2" t="s">
        <v>100</v>
      </c>
      <c r="H249" s="2" t="str">
        <f t="shared" si="3"/>
        <v>claude|action|14</v>
      </c>
    </row>
    <row r="250" spans="1:8" x14ac:dyDescent="0.2">
      <c r="A250" s="2" t="s">
        <v>27</v>
      </c>
      <c r="B250" s="2" t="s">
        <v>32</v>
      </c>
      <c r="C250" s="2">
        <v>15</v>
      </c>
      <c r="D250" s="2" t="s">
        <v>110</v>
      </c>
      <c r="E250" s="2" t="s">
        <v>28</v>
      </c>
      <c r="F250" s="4" t="b">
        <f>FALSE()</f>
        <v>0</v>
      </c>
      <c r="G250" s="2" t="s">
        <v>101</v>
      </c>
      <c r="H250" s="2" t="str">
        <f t="shared" si="3"/>
        <v>claude|action|15</v>
      </c>
    </row>
    <row r="251" spans="1:8" x14ac:dyDescent="0.2">
      <c r="A251" s="2" t="s">
        <v>27</v>
      </c>
      <c r="B251" s="2" t="s">
        <v>32</v>
      </c>
      <c r="C251" s="2">
        <v>16</v>
      </c>
      <c r="D251" s="2" t="s">
        <v>96</v>
      </c>
      <c r="E251" s="2" t="s">
        <v>28</v>
      </c>
      <c r="F251" s="4" t="b">
        <f>FALSE()</f>
        <v>0</v>
      </c>
      <c r="G251" s="2" t="s">
        <v>102</v>
      </c>
      <c r="H251" s="2" t="str">
        <f t="shared" si="3"/>
        <v>claude|action|16</v>
      </c>
    </row>
    <row r="252" spans="1:8" x14ac:dyDescent="0.2">
      <c r="A252" s="2" t="s">
        <v>27</v>
      </c>
      <c r="B252" s="2" t="s">
        <v>32</v>
      </c>
      <c r="C252" s="2">
        <v>17</v>
      </c>
      <c r="D252" s="2" t="s">
        <v>110</v>
      </c>
      <c r="E252" s="2" t="s">
        <v>28</v>
      </c>
      <c r="F252" s="4" t="b">
        <f>FALSE()</f>
        <v>0</v>
      </c>
      <c r="G252" s="2" t="s">
        <v>103</v>
      </c>
      <c r="H252" s="2" t="str">
        <f t="shared" si="3"/>
        <v>claude|action|17</v>
      </c>
    </row>
    <row r="253" spans="1:8" x14ac:dyDescent="0.2">
      <c r="A253" s="2" t="s">
        <v>27</v>
      </c>
      <c r="B253" s="2" t="s">
        <v>32</v>
      </c>
      <c r="C253" s="2">
        <v>18</v>
      </c>
      <c r="D253" s="2" t="s">
        <v>96</v>
      </c>
      <c r="E253" s="2" t="s">
        <v>28</v>
      </c>
      <c r="F253" s="4" t="b">
        <f>FALSE()</f>
        <v>0</v>
      </c>
      <c r="G253" s="2" t="s">
        <v>104</v>
      </c>
      <c r="H253" s="2" t="str">
        <f t="shared" si="3"/>
        <v>claude|action|18</v>
      </c>
    </row>
    <row r="254" spans="1:8" x14ac:dyDescent="0.2">
      <c r="A254" s="2" t="s">
        <v>27</v>
      </c>
      <c r="B254" s="2" t="s">
        <v>32</v>
      </c>
      <c r="C254" s="2">
        <v>19</v>
      </c>
      <c r="D254" s="2" t="s">
        <v>110</v>
      </c>
      <c r="E254" s="2" t="s">
        <v>28</v>
      </c>
      <c r="F254" s="4" t="b">
        <f>FALSE()</f>
        <v>0</v>
      </c>
      <c r="G254" s="2" t="s">
        <v>105</v>
      </c>
      <c r="H254" s="2" t="str">
        <f t="shared" si="3"/>
        <v>claude|action|19</v>
      </c>
    </row>
    <row r="255" spans="1:8" x14ac:dyDescent="0.2">
      <c r="A255" s="2" t="s">
        <v>27</v>
      </c>
      <c r="B255" s="2" t="s">
        <v>32</v>
      </c>
      <c r="C255" s="2">
        <v>20</v>
      </c>
      <c r="D255" s="2" t="s">
        <v>96</v>
      </c>
      <c r="E255" s="2" t="s">
        <v>28</v>
      </c>
      <c r="F255" s="4" t="b">
        <f>FALSE()</f>
        <v>0</v>
      </c>
      <c r="G255" s="2" t="s">
        <v>106</v>
      </c>
      <c r="H255" s="2" t="str">
        <f t="shared" si="3"/>
        <v>claude|action|20</v>
      </c>
    </row>
    <row r="256" spans="1:8" x14ac:dyDescent="0.2">
      <c r="A256" s="2" t="s">
        <v>27</v>
      </c>
      <c r="B256" s="2" t="s">
        <v>32</v>
      </c>
      <c r="C256" s="2">
        <v>21</v>
      </c>
      <c r="D256" s="2" t="s">
        <v>96</v>
      </c>
      <c r="E256" s="2" t="s">
        <v>28</v>
      </c>
      <c r="F256" s="4" t="b">
        <f>FALSE()</f>
        <v>0</v>
      </c>
      <c r="G256" s="2" t="s">
        <v>107</v>
      </c>
      <c r="H256" s="2" t="str">
        <f t="shared" si="3"/>
        <v>claude|action|21</v>
      </c>
    </row>
    <row r="257" spans="1:8" x14ac:dyDescent="0.2">
      <c r="A257" s="2" t="s">
        <v>27</v>
      </c>
      <c r="B257" s="2" t="s">
        <v>32</v>
      </c>
      <c r="C257" s="2">
        <v>22</v>
      </c>
      <c r="D257" s="2" t="s">
        <v>110</v>
      </c>
      <c r="E257" s="2" t="s">
        <v>28</v>
      </c>
      <c r="F257" s="4" t="b">
        <f>FALSE()</f>
        <v>0</v>
      </c>
      <c r="G257" s="2" t="s">
        <v>108</v>
      </c>
      <c r="H257" s="2" t="str">
        <f t="shared" si="3"/>
        <v>claude|action|22</v>
      </c>
    </row>
    <row r="258" spans="1:8" x14ac:dyDescent="0.2">
      <c r="A258" s="2" t="s">
        <v>27</v>
      </c>
      <c r="B258" s="2" t="s">
        <v>32</v>
      </c>
      <c r="C258" s="2">
        <v>31</v>
      </c>
      <c r="D258" s="2" t="s">
        <v>96</v>
      </c>
      <c r="E258" s="2" t="s">
        <v>28</v>
      </c>
      <c r="F258" s="4" t="b">
        <f>FALSE()</f>
        <v>0</v>
      </c>
      <c r="G258" s="2" t="s">
        <v>109</v>
      </c>
      <c r="H258" s="2" t="str">
        <f t="shared" ref="H258:H325" si="4">A258&amp;"|"&amp;B258&amp;"|"&amp;C258</f>
        <v>claude|action|31</v>
      </c>
    </row>
    <row r="259" spans="1:8" x14ac:dyDescent="0.2">
      <c r="A259" s="2" t="s">
        <v>27</v>
      </c>
      <c r="B259" s="2" t="s">
        <v>32</v>
      </c>
      <c r="C259" s="2">
        <v>32</v>
      </c>
      <c r="D259" s="2" t="s">
        <v>94</v>
      </c>
      <c r="E259" s="2" t="s">
        <v>28</v>
      </c>
      <c r="F259" s="4" t="b">
        <f>FALSE()</f>
        <v>0</v>
      </c>
      <c r="G259" s="2" t="s">
        <v>111</v>
      </c>
      <c r="H259" s="2" t="str">
        <f t="shared" si="4"/>
        <v>claude|action|32</v>
      </c>
    </row>
    <row r="260" spans="1:8" x14ac:dyDescent="0.2">
      <c r="A260" s="2" t="s">
        <v>27</v>
      </c>
      <c r="B260" s="2" t="s">
        <v>32</v>
      </c>
      <c r="C260" s="2">
        <v>41</v>
      </c>
      <c r="D260" s="2" t="s">
        <v>94</v>
      </c>
      <c r="E260" s="2" t="s">
        <v>28</v>
      </c>
      <c r="F260" s="4" t="b">
        <f>FALSE()</f>
        <v>0</v>
      </c>
      <c r="G260" s="2" t="s">
        <v>112</v>
      </c>
      <c r="H260" s="2" t="str">
        <f t="shared" si="4"/>
        <v>claude|action|41</v>
      </c>
    </row>
    <row r="261" spans="1:8" x14ac:dyDescent="0.2">
      <c r="A261" s="2" t="s">
        <v>27</v>
      </c>
      <c r="B261" s="2" t="s">
        <v>32</v>
      </c>
      <c r="C261" s="2">
        <v>42</v>
      </c>
      <c r="D261" s="2" t="s">
        <v>94</v>
      </c>
      <c r="E261" s="2" t="s">
        <v>28</v>
      </c>
      <c r="F261" s="4" t="b">
        <f>FALSE()</f>
        <v>0</v>
      </c>
      <c r="G261" s="2" t="s">
        <v>113</v>
      </c>
      <c r="H261" s="2" t="str">
        <f t="shared" si="4"/>
        <v>claude|action|42</v>
      </c>
    </row>
    <row r="262" spans="1:8" x14ac:dyDescent="0.2">
      <c r="A262" s="2" t="s">
        <v>27</v>
      </c>
      <c r="B262" s="2" t="s">
        <v>32</v>
      </c>
      <c r="C262" s="2">
        <v>51</v>
      </c>
      <c r="D262" s="2" t="s">
        <v>96</v>
      </c>
      <c r="E262" s="2" t="s">
        <v>28</v>
      </c>
      <c r="F262" s="4" t="b">
        <f>FALSE()</f>
        <v>0</v>
      </c>
      <c r="G262" s="2" t="s">
        <v>114</v>
      </c>
      <c r="H262" s="2" t="str">
        <f t="shared" si="4"/>
        <v>claude|action|51</v>
      </c>
    </row>
    <row r="263" spans="1:8" x14ac:dyDescent="0.2">
      <c r="A263" s="2" t="s">
        <v>27</v>
      </c>
      <c r="B263" s="2" t="s">
        <v>32</v>
      </c>
      <c r="C263" s="2">
        <v>52</v>
      </c>
      <c r="D263" s="2" t="s">
        <v>96</v>
      </c>
      <c r="E263" s="2" t="s">
        <v>28</v>
      </c>
      <c r="F263" s="4" t="b">
        <f>FALSE()</f>
        <v>0</v>
      </c>
      <c r="G263" s="2" t="s">
        <v>115</v>
      </c>
      <c r="H263" s="2" t="str">
        <f t="shared" si="4"/>
        <v>claude|action|52</v>
      </c>
    </row>
    <row r="264" spans="1:8" x14ac:dyDescent="0.2">
      <c r="A264" s="2" t="s">
        <v>27</v>
      </c>
      <c r="B264" s="2" t="s">
        <v>32</v>
      </c>
      <c r="C264" s="2">
        <v>61</v>
      </c>
      <c r="D264" s="2" t="s">
        <v>110</v>
      </c>
      <c r="E264" s="2" t="s">
        <v>28</v>
      </c>
      <c r="F264" s="4" t="b">
        <f>FALSE()</f>
        <v>0</v>
      </c>
      <c r="G264" s="2" t="s">
        <v>103</v>
      </c>
      <c r="H264" s="2" t="str">
        <f t="shared" si="4"/>
        <v>claude|action|61</v>
      </c>
    </row>
    <row r="265" spans="1:8" x14ac:dyDescent="0.2">
      <c r="A265" s="2" t="s">
        <v>27</v>
      </c>
      <c r="B265" s="2" t="s">
        <v>32</v>
      </c>
      <c r="C265" s="2">
        <v>62</v>
      </c>
      <c r="D265" s="2" t="s">
        <v>96</v>
      </c>
      <c r="E265" s="2" t="s">
        <v>28</v>
      </c>
      <c r="F265" s="4" t="b">
        <f>FALSE()</f>
        <v>0</v>
      </c>
      <c r="G265" s="2" t="s">
        <v>104</v>
      </c>
      <c r="H265" s="2" t="str">
        <f t="shared" si="4"/>
        <v>claude|action|62</v>
      </c>
    </row>
    <row r="266" spans="1:8" x14ac:dyDescent="0.2">
      <c r="A266" s="2" t="s">
        <v>27</v>
      </c>
      <c r="B266" s="2" t="s">
        <v>32</v>
      </c>
      <c r="C266" s="2">
        <v>63</v>
      </c>
      <c r="D266" s="2" t="s">
        <v>96</v>
      </c>
      <c r="E266" s="2" t="s">
        <v>28</v>
      </c>
      <c r="F266" s="4" t="b">
        <f>FALSE()</f>
        <v>0</v>
      </c>
      <c r="G266" s="2" t="s">
        <v>116</v>
      </c>
      <c r="H266" s="2" t="str">
        <f t="shared" si="4"/>
        <v>claude|action|63</v>
      </c>
    </row>
    <row r="267" spans="1:8" x14ac:dyDescent="0.2">
      <c r="A267" s="2" t="s">
        <v>27</v>
      </c>
      <c r="B267" s="2" t="s">
        <v>32</v>
      </c>
      <c r="C267" s="2">
        <v>64</v>
      </c>
      <c r="D267" s="2" t="s">
        <v>110</v>
      </c>
      <c r="E267" s="2" t="s">
        <v>28</v>
      </c>
      <c r="F267" s="4" t="b">
        <f>FALSE()</f>
        <v>0</v>
      </c>
      <c r="G267" s="2" t="s">
        <v>105</v>
      </c>
      <c r="H267" s="2" t="str">
        <f t="shared" si="4"/>
        <v>claude|action|64</v>
      </c>
    </row>
    <row r="268" spans="1:8" x14ac:dyDescent="0.2">
      <c r="A268" s="2" t="s">
        <v>27</v>
      </c>
      <c r="B268" s="2" t="s">
        <v>32</v>
      </c>
      <c r="C268" s="2">
        <v>65</v>
      </c>
      <c r="D268" s="2" t="s">
        <v>96</v>
      </c>
      <c r="E268" s="2" t="s">
        <v>28</v>
      </c>
      <c r="F268" s="4" t="b">
        <f>FALSE()</f>
        <v>0</v>
      </c>
      <c r="G268" s="2" t="s">
        <v>106</v>
      </c>
      <c r="H268" s="2" t="str">
        <f t="shared" si="4"/>
        <v>claude|action|65</v>
      </c>
    </row>
    <row r="269" spans="1:8" x14ac:dyDescent="0.2">
      <c r="A269" s="2" t="s">
        <v>27</v>
      </c>
      <c r="B269" s="2" t="s">
        <v>32</v>
      </c>
      <c r="C269" s="2">
        <v>66</v>
      </c>
      <c r="D269" s="2" t="s">
        <v>110</v>
      </c>
      <c r="E269" s="2" t="s">
        <v>28</v>
      </c>
      <c r="F269" s="4" t="b">
        <f>FALSE()</f>
        <v>0</v>
      </c>
      <c r="G269" s="2" t="s">
        <v>117</v>
      </c>
      <c r="H269" s="2" t="str">
        <f t="shared" si="4"/>
        <v>claude|action|66</v>
      </c>
    </row>
    <row r="270" spans="1:8" x14ac:dyDescent="0.2">
      <c r="A270" s="2" t="s">
        <v>27</v>
      </c>
      <c r="B270" s="2" t="s">
        <v>32</v>
      </c>
      <c r="C270" s="2">
        <v>67</v>
      </c>
      <c r="D270" s="2" t="s">
        <v>96</v>
      </c>
      <c r="E270" s="2" t="s">
        <v>28</v>
      </c>
      <c r="F270" s="4" t="b">
        <f>FALSE()</f>
        <v>0</v>
      </c>
      <c r="G270" s="2" t="s">
        <v>118</v>
      </c>
      <c r="H270" s="2" t="str">
        <f t="shared" si="4"/>
        <v>claude|action|67</v>
      </c>
    </row>
    <row r="271" spans="1:8" x14ac:dyDescent="0.2">
      <c r="A271" s="2" t="s">
        <v>27</v>
      </c>
      <c r="B271" s="2" t="s">
        <v>32</v>
      </c>
      <c r="C271" s="2">
        <v>68</v>
      </c>
      <c r="D271" s="2" t="s">
        <v>110</v>
      </c>
      <c r="E271" s="2" t="s">
        <v>28</v>
      </c>
      <c r="F271" s="4" t="b">
        <f>FALSE()</f>
        <v>0</v>
      </c>
      <c r="G271" s="2" t="s">
        <v>119</v>
      </c>
      <c r="H271" s="2" t="str">
        <f t="shared" si="4"/>
        <v>claude|action|68</v>
      </c>
    </row>
    <row r="272" spans="1:8" x14ac:dyDescent="0.2">
      <c r="A272" s="2" t="s">
        <v>29</v>
      </c>
      <c r="B272" s="2" t="s">
        <v>32</v>
      </c>
      <c r="C272" s="2">
        <v>1</v>
      </c>
      <c r="D272" s="2" t="s">
        <v>110</v>
      </c>
      <c r="E272" s="2" t="s">
        <v>94</v>
      </c>
      <c r="F272" s="4" t="b">
        <f>FALSE()</f>
        <v>0</v>
      </c>
      <c r="G272" s="2" t="s">
        <v>95</v>
      </c>
      <c r="H272" s="2" t="str">
        <f t="shared" si="4"/>
        <v>gemini|action|1</v>
      </c>
    </row>
    <row r="273" spans="1:8" x14ac:dyDescent="0.2">
      <c r="A273" s="2" t="s">
        <v>29</v>
      </c>
      <c r="B273" s="2" t="s">
        <v>32</v>
      </c>
      <c r="C273" s="2">
        <v>11</v>
      </c>
      <c r="D273" s="2" t="s">
        <v>110</v>
      </c>
      <c r="E273" s="2" t="s">
        <v>94</v>
      </c>
      <c r="F273" s="4" t="b">
        <f>FALSE()</f>
        <v>0</v>
      </c>
      <c r="G273" s="2" t="s">
        <v>97</v>
      </c>
      <c r="H273" s="2" t="str">
        <f t="shared" si="4"/>
        <v>gemini|action|11</v>
      </c>
    </row>
    <row r="274" spans="1:8" x14ac:dyDescent="0.2">
      <c r="A274" s="2" t="s">
        <v>29</v>
      </c>
      <c r="B274" s="2" t="s">
        <v>32</v>
      </c>
      <c r="C274" s="2">
        <v>12</v>
      </c>
      <c r="D274" s="2" t="s">
        <v>96</v>
      </c>
      <c r="E274" s="2" t="s">
        <v>96</v>
      </c>
      <c r="F274" s="3" t="b">
        <f>TRUE()</f>
        <v>1</v>
      </c>
      <c r="G274" s="2" t="s">
        <v>98</v>
      </c>
      <c r="H274" s="2" t="str">
        <f t="shared" si="4"/>
        <v>gemini|action|12</v>
      </c>
    </row>
    <row r="275" spans="1:8" x14ac:dyDescent="0.2">
      <c r="A275" s="2" t="s">
        <v>29</v>
      </c>
      <c r="B275" s="2" t="s">
        <v>32</v>
      </c>
      <c r="C275" s="2">
        <v>13</v>
      </c>
      <c r="D275" s="2" t="s">
        <v>110</v>
      </c>
      <c r="E275" s="2" t="s">
        <v>96</v>
      </c>
      <c r="F275" s="4" t="b">
        <f>FALSE()</f>
        <v>0</v>
      </c>
      <c r="G275" s="2" t="s">
        <v>99</v>
      </c>
      <c r="H275" s="2" t="str">
        <f t="shared" si="4"/>
        <v>gemini|action|13</v>
      </c>
    </row>
    <row r="276" spans="1:8" x14ac:dyDescent="0.2">
      <c r="A276" s="2" t="s">
        <v>29</v>
      </c>
      <c r="B276" s="2" t="s">
        <v>32</v>
      </c>
      <c r="C276" s="2">
        <v>14</v>
      </c>
      <c r="D276" s="2" t="s">
        <v>96</v>
      </c>
      <c r="E276" s="2" t="s">
        <v>96</v>
      </c>
      <c r="F276" s="3" t="b">
        <f>TRUE()</f>
        <v>1</v>
      </c>
      <c r="G276" s="2" t="s">
        <v>100</v>
      </c>
      <c r="H276" s="2" t="str">
        <f t="shared" si="4"/>
        <v>gemini|action|14</v>
      </c>
    </row>
    <row r="277" spans="1:8" x14ac:dyDescent="0.2">
      <c r="A277" s="2" t="s">
        <v>29</v>
      </c>
      <c r="B277" s="2" t="s">
        <v>32</v>
      </c>
      <c r="C277" s="2">
        <v>15</v>
      </c>
      <c r="D277" s="2" t="s">
        <v>110</v>
      </c>
      <c r="E277" s="2" t="s">
        <v>96</v>
      </c>
      <c r="F277" s="4" t="b">
        <f>FALSE()</f>
        <v>0</v>
      </c>
      <c r="G277" s="2" t="s">
        <v>101</v>
      </c>
      <c r="H277" s="2" t="str">
        <f t="shared" si="4"/>
        <v>gemini|action|15</v>
      </c>
    </row>
    <row r="278" spans="1:8" x14ac:dyDescent="0.2">
      <c r="A278" s="2" t="s">
        <v>29</v>
      </c>
      <c r="B278" s="2" t="s">
        <v>32</v>
      </c>
      <c r="C278" s="2">
        <v>16</v>
      </c>
      <c r="D278" s="2" t="s">
        <v>96</v>
      </c>
      <c r="E278" s="2" t="s">
        <v>96</v>
      </c>
      <c r="F278" s="3" t="b">
        <f>TRUE()</f>
        <v>1</v>
      </c>
      <c r="G278" s="2" t="s">
        <v>102</v>
      </c>
      <c r="H278" s="2" t="str">
        <f t="shared" si="4"/>
        <v>gemini|action|16</v>
      </c>
    </row>
    <row r="279" spans="1:8" x14ac:dyDescent="0.2">
      <c r="A279" s="2" t="s">
        <v>29</v>
      </c>
      <c r="B279" s="2" t="s">
        <v>32</v>
      </c>
      <c r="C279" s="2">
        <v>17</v>
      </c>
      <c r="D279" s="2" t="s">
        <v>110</v>
      </c>
      <c r="E279" s="2" t="s">
        <v>96</v>
      </c>
      <c r="F279" s="4" t="b">
        <f>FALSE()</f>
        <v>0</v>
      </c>
      <c r="G279" s="2" t="s">
        <v>103</v>
      </c>
      <c r="H279" s="2" t="str">
        <f t="shared" si="4"/>
        <v>gemini|action|17</v>
      </c>
    </row>
    <row r="280" spans="1:8" x14ac:dyDescent="0.2">
      <c r="A280" s="2" t="s">
        <v>29</v>
      </c>
      <c r="B280" s="2" t="s">
        <v>32</v>
      </c>
      <c r="C280" s="2">
        <v>18</v>
      </c>
      <c r="D280" s="2" t="s">
        <v>96</v>
      </c>
      <c r="E280" s="2" t="s">
        <v>96</v>
      </c>
      <c r="F280" s="3" t="b">
        <f>TRUE()</f>
        <v>1</v>
      </c>
      <c r="G280" s="2" t="s">
        <v>104</v>
      </c>
      <c r="H280" s="2" t="str">
        <f t="shared" si="4"/>
        <v>gemini|action|18</v>
      </c>
    </row>
    <row r="281" spans="1:8" x14ac:dyDescent="0.2">
      <c r="A281" s="2" t="s">
        <v>29</v>
      </c>
      <c r="B281" s="2" t="s">
        <v>32</v>
      </c>
      <c r="C281" s="2">
        <v>19</v>
      </c>
      <c r="D281" s="2" t="s">
        <v>110</v>
      </c>
      <c r="E281" s="2" t="s">
        <v>96</v>
      </c>
      <c r="F281" s="4" t="b">
        <f>FALSE()</f>
        <v>0</v>
      </c>
      <c r="G281" s="2" t="s">
        <v>105</v>
      </c>
      <c r="H281" s="2" t="str">
        <f t="shared" si="4"/>
        <v>gemini|action|19</v>
      </c>
    </row>
    <row r="282" spans="1:8" x14ac:dyDescent="0.2">
      <c r="A282" s="2" t="s">
        <v>29</v>
      </c>
      <c r="B282" s="2" t="s">
        <v>32</v>
      </c>
      <c r="C282" s="2">
        <v>20</v>
      </c>
      <c r="D282" s="2" t="s">
        <v>96</v>
      </c>
      <c r="E282" s="2" t="s">
        <v>96</v>
      </c>
      <c r="F282" s="3" t="b">
        <f>TRUE()</f>
        <v>1</v>
      </c>
      <c r="G282" s="2" t="s">
        <v>106</v>
      </c>
      <c r="H282" s="2" t="str">
        <f t="shared" si="4"/>
        <v>gemini|action|20</v>
      </c>
    </row>
    <row r="283" spans="1:8" x14ac:dyDescent="0.2">
      <c r="A283" s="2" t="s">
        <v>29</v>
      </c>
      <c r="B283" s="2" t="s">
        <v>32</v>
      </c>
      <c r="C283" s="2">
        <v>21</v>
      </c>
      <c r="D283" s="2" t="s">
        <v>96</v>
      </c>
      <c r="E283" s="2" t="s">
        <v>96</v>
      </c>
      <c r="F283" s="3" t="b">
        <f>TRUE()</f>
        <v>1</v>
      </c>
      <c r="G283" s="2" t="s">
        <v>107</v>
      </c>
      <c r="H283" s="2" t="str">
        <f t="shared" si="4"/>
        <v>gemini|action|21</v>
      </c>
    </row>
    <row r="284" spans="1:8" x14ac:dyDescent="0.2">
      <c r="A284" s="2" t="s">
        <v>29</v>
      </c>
      <c r="B284" s="2" t="s">
        <v>32</v>
      </c>
      <c r="C284" s="2">
        <v>22</v>
      </c>
      <c r="D284" s="2" t="s">
        <v>110</v>
      </c>
      <c r="E284" s="2" t="s">
        <v>94</v>
      </c>
      <c r="F284" s="4" t="b">
        <f>FALSE()</f>
        <v>0</v>
      </c>
      <c r="G284" s="2" t="s">
        <v>108</v>
      </c>
      <c r="H284" s="2" t="str">
        <f t="shared" si="4"/>
        <v>gemini|action|22</v>
      </c>
    </row>
    <row r="285" spans="1:8" x14ac:dyDescent="0.2">
      <c r="A285" s="2" t="s">
        <v>29</v>
      </c>
      <c r="B285" s="2" t="s">
        <v>32</v>
      </c>
      <c r="C285" s="2">
        <v>31</v>
      </c>
      <c r="D285" s="2" t="s">
        <v>96</v>
      </c>
      <c r="E285" s="2" t="s">
        <v>110</v>
      </c>
      <c r="F285" s="4" t="b">
        <f>FALSE()</f>
        <v>0</v>
      </c>
      <c r="G285" s="2" t="s">
        <v>109</v>
      </c>
      <c r="H285" s="2" t="str">
        <f t="shared" si="4"/>
        <v>gemini|action|31</v>
      </c>
    </row>
    <row r="286" spans="1:8" x14ac:dyDescent="0.2">
      <c r="A286" s="2" t="s">
        <v>29</v>
      </c>
      <c r="B286" s="2" t="s">
        <v>32</v>
      </c>
      <c r="C286" s="2">
        <v>32</v>
      </c>
      <c r="D286" s="2" t="s">
        <v>94</v>
      </c>
      <c r="E286" s="2" t="s">
        <v>110</v>
      </c>
      <c r="F286" s="4" t="b">
        <f>FALSE()</f>
        <v>0</v>
      </c>
      <c r="G286" s="2" t="s">
        <v>111</v>
      </c>
      <c r="H286" s="2" t="str">
        <f t="shared" si="4"/>
        <v>gemini|action|32</v>
      </c>
    </row>
    <row r="287" spans="1:8" x14ac:dyDescent="0.2">
      <c r="A287" s="2" t="s">
        <v>29</v>
      </c>
      <c r="B287" s="2" t="s">
        <v>32</v>
      </c>
      <c r="C287" s="2">
        <v>41</v>
      </c>
      <c r="D287" s="2" t="s">
        <v>94</v>
      </c>
      <c r="E287" s="2" t="s">
        <v>110</v>
      </c>
      <c r="F287" s="4" t="b">
        <f>FALSE()</f>
        <v>0</v>
      </c>
      <c r="G287" s="2" t="s">
        <v>112</v>
      </c>
      <c r="H287" s="2" t="str">
        <f t="shared" si="4"/>
        <v>gemini|action|41</v>
      </c>
    </row>
    <row r="288" spans="1:8" x14ac:dyDescent="0.2">
      <c r="A288" s="2" t="s">
        <v>29</v>
      </c>
      <c r="B288" s="2" t="s">
        <v>32</v>
      </c>
      <c r="C288" s="2">
        <v>42</v>
      </c>
      <c r="D288" s="2" t="s">
        <v>94</v>
      </c>
      <c r="E288" s="2" t="s">
        <v>110</v>
      </c>
      <c r="F288" s="4" t="b">
        <f>FALSE()</f>
        <v>0</v>
      </c>
      <c r="G288" s="2" t="s">
        <v>113</v>
      </c>
      <c r="H288" s="2" t="str">
        <f t="shared" si="4"/>
        <v>gemini|action|42</v>
      </c>
    </row>
    <row r="289" spans="1:8" x14ac:dyDescent="0.2">
      <c r="A289" s="2" t="s">
        <v>29</v>
      </c>
      <c r="B289" s="2" t="s">
        <v>32</v>
      </c>
      <c r="C289" s="2">
        <v>51</v>
      </c>
      <c r="D289" s="2" t="s">
        <v>96</v>
      </c>
      <c r="E289" s="2" t="s">
        <v>96</v>
      </c>
      <c r="F289" s="3" t="b">
        <f>TRUE()</f>
        <v>1</v>
      </c>
      <c r="G289" s="2" t="s">
        <v>114</v>
      </c>
      <c r="H289" s="2" t="str">
        <f t="shared" si="4"/>
        <v>gemini|action|51</v>
      </c>
    </row>
    <row r="290" spans="1:8" x14ac:dyDescent="0.2">
      <c r="A290" s="2" t="s">
        <v>29</v>
      </c>
      <c r="B290" s="2" t="s">
        <v>32</v>
      </c>
      <c r="C290" s="2">
        <v>52</v>
      </c>
      <c r="D290" s="2" t="s">
        <v>96</v>
      </c>
      <c r="E290" s="2" t="s">
        <v>110</v>
      </c>
      <c r="F290" s="4" t="b">
        <f>FALSE()</f>
        <v>0</v>
      </c>
      <c r="G290" s="2" t="s">
        <v>115</v>
      </c>
      <c r="H290" s="2" t="str">
        <f t="shared" si="4"/>
        <v>gemini|action|52</v>
      </c>
    </row>
    <row r="291" spans="1:8" x14ac:dyDescent="0.2">
      <c r="A291" s="2" t="s">
        <v>29</v>
      </c>
      <c r="B291" s="2" t="s">
        <v>32</v>
      </c>
      <c r="C291" s="2">
        <v>61</v>
      </c>
      <c r="D291" s="2" t="s">
        <v>110</v>
      </c>
      <c r="E291" s="2" t="s">
        <v>96</v>
      </c>
      <c r="F291" s="4" t="b">
        <f>FALSE()</f>
        <v>0</v>
      </c>
      <c r="G291" s="2" t="s">
        <v>103</v>
      </c>
      <c r="H291" s="2" t="str">
        <f t="shared" si="4"/>
        <v>gemini|action|61</v>
      </c>
    </row>
    <row r="292" spans="1:8" x14ac:dyDescent="0.2">
      <c r="A292" s="2" t="s">
        <v>29</v>
      </c>
      <c r="B292" s="2" t="s">
        <v>32</v>
      </c>
      <c r="C292" s="2">
        <v>62</v>
      </c>
      <c r="D292" s="2" t="s">
        <v>96</v>
      </c>
      <c r="E292" s="2" t="s">
        <v>96</v>
      </c>
      <c r="F292" s="3" t="b">
        <f>TRUE()</f>
        <v>1</v>
      </c>
      <c r="G292" s="2" t="s">
        <v>104</v>
      </c>
      <c r="H292" s="2" t="str">
        <f t="shared" si="4"/>
        <v>gemini|action|62</v>
      </c>
    </row>
    <row r="293" spans="1:8" x14ac:dyDescent="0.2">
      <c r="A293" s="2" t="s">
        <v>29</v>
      </c>
      <c r="B293" s="2" t="s">
        <v>32</v>
      </c>
      <c r="C293" s="2">
        <v>63</v>
      </c>
      <c r="D293" s="2" t="s">
        <v>96</v>
      </c>
      <c r="E293" s="2" t="s">
        <v>96</v>
      </c>
      <c r="F293" s="3" t="b">
        <f>TRUE()</f>
        <v>1</v>
      </c>
      <c r="G293" s="2" t="s">
        <v>116</v>
      </c>
      <c r="H293" s="2" t="str">
        <f t="shared" si="4"/>
        <v>gemini|action|63</v>
      </c>
    </row>
    <row r="294" spans="1:8" x14ac:dyDescent="0.2">
      <c r="A294" s="2" t="s">
        <v>29</v>
      </c>
      <c r="B294" s="2" t="s">
        <v>32</v>
      </c>
      <c r="C294" s="2">
        <v>64</v>
      </c>
      <c r="D294" s="2" t="s">
        <v>110</v>
      </c>
      <c r="E294" s="2" t="s">
        <v>96</v>
      </c>
      <c r="F294" s="4" t="b">
        <f>FALSE()</f>
        <v>0</v>
      </c>
      <c r="G294" s="2" t="s">
        <v>105</v>
      </c>
      <c r="H294" s="2" t="str">
        <f t="shared" si="4"/>
        <v>gemini|action|64</v>
      </c>
    </row>
    <row r="295" spans="1:8" x14ac:dyDescent="0.2">
      <c r="A295" s="2" t="s">
        <v>29</v>
      </c>
      <c r="B295" s="2" t="s">
        <v>32</v>
      </c>
      <c r="C295" s="2">
        <v>65</v>
      </c>
      <c r="D295" s="2" t="s">
        <v>96</v>
      </c>
      <c r="E295" s="2" t="s">
        <v>96</v>
      </c>
      <c r="F295" s="3" t="b">
        <f>TRUE()</f>
        <v>1</v>
      </c>
      <c r="G295" s="2" t="s">
        <v>106</v>
      </c>
      <c r="H295" s="2" t="str">
        <f t="shared" si="4"/>
        <v>gemini|action|65</v>
      </c>
    </row>
    <row r="296" spans="1:8" x14ac:dyDescent="0.2">
      <c r="A296" s="2" t="s">
        <v>29</v>
      </c>
      <c r="B296" s="2" t="s">
        <v>32</v>
      </c>
      <c r="C296" s="2">
        <v>66</v>
      </c>
      <c r="D296" s="2" t="s">
        <v>110</v>
      </c>
      <c r="E296" s="2" t="s">
        <v>94</v>
      </c>
      <c r="F296" s="4" t="b">
        <f>FALSE()</f>
        <v>0</v>
      </c>
      <c r="G296" s="2" t="s">
        <v>117</v>
      </c>
      <c r="H296" s="2" t="str">
        <f t="shared" si="4"/>
        <v>gemini|action|66</v>
      </c>
    </row>
    <row r="297" spans="1:8" x14ac:dyDescent="0.2">
      <c r="A297" s="2" t="s">
        <v>29</v>
      </c>
      <c r="B297" s="2" t="s">
        <v>32</v>
      </c>
      <c r="C297" s="2">
        <v>67</v>
      </c>
      <c r="D297" s="2" t="s">
        <v>96</v>
      </c>
      <c r="E297" s="2" t="s">
        <v>96</v>
      </c>
      <c r="F297" s="3" t="b">
        <f>TRUE()</f>
        <v>1</v>
      </c>
      <c r="G297" s="2" t="s">
        <v>118</v>
      </c>
      <c r="H297" s="2" t="str">
        <f t="shared" si="4"/>
        <v>gemini|action|67</v>
      </c>
    </row>
    <row r="298" spans="1:8" x14ac:dyDescent="0.2">
      <c r="A298" s="2" t="s">
        <v>29</v>
      </c>
      <c r="B298" s="2" t="s">
        <v>32</v>
      </c>
      <c r="C298" s="2">
        <v>68</v>
      </c>
      <c r="D298" s="2" t="s">
        <v>110</v>
      </c>
      <c r="E298" s="2" t="s">
        <v>96</v>
      </c>
      <c r="F298" s="4" t="b">
        <f>FALSE()</f>
        <v>0</v>
      </c>
      <c r="G298" s="2" t="s">
        <v>119</v>
      </c>
      <c r="H298" s="2" t="str">
        <f t="shared" si="4"/>
        <v>gemini|action|68</v>
      </c>
    </row>
    <row r="299" spans="1:8" x14ac:dyDescent="0.2">
      <c r="A299" s="2" t="s">
        <v>30</v>
      </c>
      <c r="B299" s="2" t="s">
        <v>32</v>
      </c>
      <c r="C299" s="2">
        <v>1</v>
      </c>
      <c r="D299" s="2" t="s">
        <v>110</v>
      </c>
      <c r="E299" s="2" t="s">
        <v>28</v>
      </c>
      <c r="F299" s="4" t="b">
        <f>FALSE()</f>
        <v>0</v>
      </c>
      <c r="G299" s="2" t="s">
        <v>95</v>
      </c>
      <c r="H299" s="2" t="str">
        <f t="shared" si="4"/>
        <v>llama|action|1</v>
      </c>
    </row>
    <row r="300" spans="1:8" x14ac:dyDescent="0.2">
      <c r="A300" s="2" t="s">
        <v>30</v>
      </c>
      <c r="B300" s="2" t="s">
        <v>32</v>
      </c>
      <c r="C300" s="2">
        <v>11</v>
      </c>
      <c r="D300" s="2" t="s">
        <v>110</v>
      </c>
      <c r="E300" s="2" t="s">
        <v>28</v>
      </c>
      <c r="F300" s="4" t="b">
        <f>FALSE()</f>
        <v>0</v>
      </c>
      <c r="G300" s="2" t="s">
        <v>97</v>
      </c>
      <c r="H300" s="2" t="str">
        <f t="shared" si="4"/>
        <v>llama|action|11</v>
      </c>
    </row>
    <row r="301" spans="1:8" x14ac:dyDescent="0.2">
      <c r="A301" s="2" t="s">
        <v>30</v>
      </c>
      <c r="B301" s="2" t="s">
        <v>32</v>
      </c>
      <c r="C301" s="2">
        <v>12</v>
      </c>
      <c r="D301" s="2" t="s">
        <v>96</v>
      </c>
      <c r="E301" s="2" t="s">
        <v>28</v>
      </c>
      <c r="F301" s="4" t="b">
        <f>FALSE()</f>
        <v>0</v>
      </c>
      <c r="G301" s="2" t="s">
        <v>98</v>
      </c>
      <c r="H301" s="2" t="str">
        <f t="shared" si="4"/>
        <v>llama|action|12</v>
      </c>
    </row>
    <row r="302" spans="1:8" x14ac:dyDescent="0.2">
      <c r="A302" s="2" t="s">
        <v>30</v>
      </c>
      <c r="B302" s="2" t="s">
        <v>32</v>
      </c>
      <c r="C302" s="2">
        <v>13</v>
      </c>
      <c r="D302" s="2" t="s">
        <v>110</v>
      </c>
      <c r="E302" s="2" t="s">
        <v>28</v>
      </c>
      <c r="F302" s="4" t="b">
        <f>FALSE()</f>
        <v>0</v>
      </c>
      <c r="G302" s="2" t="s">
        <v>99</v>
      </c>
      <c r="H302" s="2" t="str">
        <f t="shared" si="4"/>
        <v>llama|action|13</v>
      </c>
    </row>
    <row r="303" spans="1:8" x14ac:dyDescent="0.2">
      <c r="A303" s="2" t="s">
        <v>30</v>
      </c>
      <c r="B303" s="2" t="s">
        <v>32</v>
      </c>
      <c r="C303" s="2">
        <v>14</v>
      </c>
      <c r="D303" s="2" t="s">
        <v>96</v>
      </c>
      <c r="E303" s="2" t="s">
        <v>28</v>
      </c>
      <c r="F303" s="4" t="b">
        <f>FALSE()</f>
        <v>0</v>
      </c>
      <c r="G303" s="2" t="s">
        <v>100</v>
      </c>
      <c r="H303" s="2" t="str">
        <f t="shared" si="4"/>
        <v>llama|action|14</v>
      </c>
    </row>
    <row r="304" spans="1:8" x14ac:dyDescent="0.2">
      <c r="A304" s="2" t="s">
        <v>30</v>
      </c>
      <c r="B304" s="2" t="s">
        <v>32</v>
      </c>
      <c r="C304" s="2">
        <v>15</v>
      </c>
      <c r="D304" s="2" t="s">
        <v>110</v>
      </c>
      <c r="E304" s="2" t="s">
        <v>28</v>
      </c>
      <c r="F304" s="4" t="b">
        <f>FALSE()</f>
        <v>0</v>
      </c>
      <c r="G304" s="2" t="s">
        <v>101</v>
      </c>
      <c r="H304" s="2" t="str">
        <f t="shared" si="4"/>
        <v>llama|action|15</v>
      </c>
    </row>
    <row r="305" spans="1:8" x14ac:dyDescent="0.2">
      <c r="A305" s="2" t="s">
        <v>30</v>
      </c>
      <c r="B305" s="2" t="s">
        <v>32</v>
      </c>
      <c r="C305" s="2">
        <v>16</v>
      </c>
      <c r="D305" s="2" t="s">
        <v>96</v>
      </c>
      <c r="E305" s="2" t="s">
        <v>28</v>
      </c>
      <c r="F305" s="4" t="b">
        <f>FALSE()</f>
        <v>0</v>
      </c>
      <c r="G305" s="2" t="s">
        <v>102</v>
      </c>
      <c r="H305" s="2" t="str">
        <f t="shared" si="4"/>
        <v>llama|action|16</v>
      </c>
    </row>
    <row r="306" spans="1:8" x14ac:dyDescent="0.2">
      <c r="A306" s="2" t="s">
        <v>30</v>
      </c>
      <c r="B306" s="2" t="s">
        <v>32</v>
      </c>
      <c r="C306" s="2">
        <v>17</v>
      </c>
      <c r="D306" s="2" t="s">
        <v>110</v>
      </c>
      <c r="E306" s="2" t="s">
        <v>28</v>
      </c>
      <c r="F306" s="4" t="b">
        <f>FALSE()</f>
        <v>0</v>
      </c>
      <c r="G306" s="2" t="s">
        <v>103</v>
      </c>
      <c r="H306" s="2" t="str">
        <f t="shared" si="4"/>
        <v>llama|action|17</v>
      </c>
    </row>
    <row r="307" spans="1:8" x14ac:dyDescent="0.2">
      <c r="A307" s="2" t="s">
        <v>30</v>
      </c>
      <c r="B307" s="2" t="s">
        <v>32</v>
      </c>
      <c r="C307" s="2">
        <v>18</v>
      </c>
      <c r="D307" s="2" t="s">
        <v>96</v>
      </c>
      <c r="E307" s="2" t="s">
        <v>28</v>
      </c>
      <c r="F307" s="4" t="b">
        <f>FALSE()</f>
        <v>0</v>
      </c>
      <c r="G307" s="2" t="s">
        <v>104</v>
      </c>
      <c r="H307" s="2" t="str">
        <f t="shared" si="4"/>
        <v>llama|action|18</v>
      </c>
    </row>
    <row r="308" spans="1:8" x14ac:dyDescent="0.2">
      <c r="A308" s="2" t="s">
        <v>30</v>
      </c>
      <c r="B308" s="2" t="s">
        <v>32</v>
      </c>
      <c r="C308" s="2">
        <v>19</v>
      </c>
      <c r="D308" s="2" t="s">
        <v>110</v>
      </c>
      <c r="E308" s="2" t="s">
        <v>28</v>
      </c>
      <c r="F308" s="4" t="b">
        <f>FALSE()</f>
        <v>0</v>
      </c>
      <c r="G308" s="2" t="s">
        <v>105</v>
      </c>
      <c r="H308" s="2" t="str">
        <f t="shared" si="4"/>
        <v>llama|action|19</v>
      </c>
    </row>
    <row r="309" spans="1:8" x14ac:dyDescent="0.2">
      <c r="A309" s="2" t="s">
        <v>30</v>
      </c>
      <c r="B309" s="2" t="s">
        <v>32</v>
      </c>
      <c r="C309" s="2">
        <v>20</v>
      </c>
      <c r="D309" s="2" t="s">
        <v>96</v>
      </c>
      <c r="E309" s="2" t="s">
        <v>28</v>
      </c>
      <c r="F309" s="4" t="b">
        <f>FALSE()</f>
        <v>0</v>
      </c>
      <c r="G309" s="2" t="s">
        <v>106</v>
      </c>
      <c r="H309" s="2" t="str">
        <f t="shared" si="4"/>
        <v>llama|action|20</v>
      </c>
    </row>
    <row r="310" spans="1:8" x14ac:dyDescent="0.2">
      <c r="A310" s="2" t="s">
        <v>30</v>
      </c>
      <c r="B310" s="2" t="s">
        <v>32</v>
      </c>
      <c r="C310" s="2">
        <v>21</v>
      </c>
      <c r="D310" s="2" t="s">
        <v>96</v>
      </c>
      <c r="E310" s="2" t="s">
        <v>28</v>
      </c>
      <c r="F310" s="4" t="b">
        <f>FALSE()</f>
        <v>0</v>
      </c>
      <c r="G310" s="2" t="s">
        <v>107</v>
      </c>
      <c r="H310" s="2" t="str">
        <f t="shared" si="4"/>
        <v>llama|action|21</v>
      </c>
    </row>
    <row r="311" spans="1:8" x14ac:dyDescent="0.2">
      <c r="A311" s="2" t="s">
        <v>30</v>
      </c>
      <c r="B311" s="2" t="s">
        <v>32</v>
      </c>
      <c r="C311" s="2">
        <v>22</v>
      </c>
      <c r="D311" s="2" t="s">
        <v>110</v>
      </c>
      <c r="E311" s="2" t="s">
        <v>28</v>
      </c>
      <c r="F311" s="4" t="b">
        <f>FALSE()</f>
        <v>0</v>
      </c>
      <c r="G311" s="2" t="s">
        <v>108</v>
      </c>
      <c r="H311" s="2" t="str">
        <f t="shared" si="4"/>
        <v>llama|action|22</v>
      </c>
    </row>
    <row r="312" spans="1:8" x14ac:dyDescent="0.2">
      <c r="A312" s="2" t="s">
        <v>30</v>
      </c>
      <c r="B312" s="2" t="s">
        <v>32</v>
      </c>
      <c r="C312" s="2">
        <v>31</v>
      </c>
      <c r="D312" s="2" t="s">
        <v>96</v>
      </c>
      <c r="E312" s="2" t="s">
        <v>28</v>
      </c>
      <c r="F312" s="4" t="b">
        <f>FALSE()</f>
        <v>0</v>
      </c>
      <c r="G312" s="2" t="s">
        <v>109</v>
      </c>
      <c r="H312" s="2" t="str">
        <f t="shared" si="4"/>
        <v>llama|action|31</v>
      </c>
    </row>
    <row r="313" spans="1:8" x14ac:dyDescent="0.2">
      <c r="A313" s="2" t="s">
        <v>30</v>
      </c>
      <c r="B313" s="2" t="s">
        <v>32</v>
      </c>
      <c r="C313" s="2">
        <v>32</v>
      </c>
      <c r="D313" s="2" t="s">
        <v>94</v>
      </c>
      <c r="E313" s="2" t="s">
        <v>28</v>
      </c>
      <c r="F313" s="4" t="b">
        <f>FALSE()</f>
        <v>0</v>
      </c>
      <c r="G313" s="2" t="s">
        <v>111</v>
      </c>
      <c r="H313" s="2" t="str">
        <f t="shared" si="4"/>
        <v>llama|action|32</v>
      </c>
    </row>
    <row r="314" spans="1:8" x14ac:dyDescent="0.2">
      <c r="A314" s="2" t="s">
        <v>30</v>
      </c>
      <c r="B314" s="2" t="s">
        <v>32</v>
      </c>
      <c r="C314" s="2">
        <v>41</v>
      </c>
      <c r="D314" s="2" t="s">
        <v>94</v>
      </c>
      <c r="E314" s="2" t="s">
        <v>28</v>
      </c>
      <c r="F314" s="4" t="b">
        <f>FALSE()</f>
        <v>0</v>
      </c>
      <c r="G314" s="2" t="s">
        <v>112</v>
      </c>
      <c r="H314" s="2" t="str">
        <f t="shared" si="4"/>
        <v>llama|action|41</v>
      </c>
    </row>
    <row r="315" spans="1:8" x14ac:dyDescent="0.2">
      <c r="A315" s="2" t="s">
        <v>30</v>
      </c>
      <c r="B315" s="2" t="s">
        <v>32</v>
      </c>
      <c r="C315" s="2">
        <v>42</v>
      </c>
      <c r="D315" s="2" t="s">
        <v>94</v>
      </c>
      <c r="E315" s="2" t="s">
        <v>28</v>
      </c>
      <c r="F315" s="4" t="b">
        <f>FALSE()</f>
        <v>0</v>
      </c>
      <c r="G315" s="2" t="s">
        <v>113</v>
      </c>
      <c r="H315" s="2" t="str">
        <f t="shared" si="4"/>
        <v>llama|action|42</v>
      </c>
    </row>
    <row r="316" spans="1:8" x14ac:dyDescent="0.2">
      <c r="A316" s="2" t="s">
        <v>30</v>
      </c>
      <c r="B316" s="2" t="s">
        <v>32</v>
      </c>
      <c r="C316" s="2">
        <v>51</v>
      </c>
      <c r="D316" s="2" t="s">
        <v>96</v>
      </c>
      <c r="E316" s="2" t="s">
        <v>28</v>
      </c>
      <c r="F316" s="4" t="b">
        <f>FALSE()</f>
        <v>0</v>
      </c>
      <c r="G316" s="2" t="s">
        <v>114</v>
      </c>
      <c r="H316" s="2" t="str">
        <f t="shared" si="4"/>
        <v>llama|action|51</v>
      </c>
    </row>
    <row r="317" spans="1:8" x14ac:dyDescent="0.2">
      <c r="A317" s="2" t="s">
        <v>30</v>
      </c>
      <c r="B317" s="2" t="s">
        <v>32</v>
      </c>
      <c r="C317" s="2">
        <v>52</v>
      </c>
      <c r="D317" s="2" t="s">
        <v>96</v>
      </c>
      <c r="E317" s="2" t="s">
        <v>28</v>
      </c>
      <c r="F317" s="4" t="b">
        <f>FALSE()</f>
        <v>0</v>
      </c>
      <c r="G317" s="2" t="s">
        <v>115</v>
      </c>
      <c r="H317" s="2" t="str">
        <f t="shared" si="4"/>
        <v>llama|action|52</v>
      </c>
    </row>
    <row r="318" spans="1:8" x14ac:dyDescent="0.2">
      <c r="A318" s="2" t="s">
        <v>30</v>
      </c>
      <c r="B318" s="2" t="s">
        <v>32</v>
      </c>
      <c r="C318" s="2">
        <v>61</v>
      </c>
      <c r="D318" s="2" t="s">
        <v>110</v>
      </c>
      <c r="E318" s="2" t="s">
        <v>28</v>
      </c>
      <c r="F318" s="4" t="b">
        <f>FALSE()</f>
        <v>0</v>
      </c>
      <c r="G318" s="2" t="s">
        <v>103</v>
      </c>
      <c r="H318" s="2" t="str">
        <f t="shared" si="4"/>
        <v>llama|action|61</v>
      </c>
    </row>
    <row r="319" spans="1:8" x14ac:dyDescent="0.2">
      <c r="A319" s="2" t="s">
        <v>30</v>
      </c>
      <c r="B319" s="2" t="s">
        <v>32</v>
      </c>
      <c r="C319" s="2">
        <v>62</v>
      </c>
      <c r="D319" s="2" t="s">
        <v>96</v>
      </c>
      <c r="E319" s="2" t="s">
        <v>28</v>
      </c>
      <c r="F319" s="4" t="b">
        <f>FALSE()</f>
        <v>0</v>
      </c>
      <c r="G319" s="2" t="s">
        <v>104</v>
      </c>
      <c r="H319" s="2" t="str">
        <f t="shared" si="4"/>
        <v>llama|action|62</v>
      </c>
    </row>
    <row r="320" spans="1:8" x14ac:dyDescent="0.2">
      <c r="A320" s="2" t="s">
        <v>30</v>
      </c>
      <c r="B320" s="2" t="s">
        <v>32</v>
      </c>
      <c r="C320" s="2">
        <v>63</v>
      </c>
      <c r="D320" s="2" t="s">
        <v>96</v>
      </c>
      <c r="E320" s="2" t="s">
        <v>28</v>
      </c>
      <c r="F320" s="4" t="b">
        <f>FALSE()</f>
        <v>0</v>
      </c>
      <c r="G320" s="2" t="s">
        <v>116</v>
      </c>
      <c r="H320" s="2" t="str">
        <f t="shared" si="4"/>
        <v>llama|action|63</v>
      </c>
    </row>
    <row r="321" spans="1:8" x14ac:dyDescent="0.2">
      <c r="A321" s="2" t="s">
        <v>30</v>
      </c>
      <c r="B321" s="2" t="s">
        <v>32</v>
      </c>
      <c r="C321" s="2">
        <v>64</v>
      </c>
      <c r="D321" s="2" t="s">
        <v>110</v>
      </c>
      <c r="E321" s="2" t="s">
        <v>28</v>
      </c>
      <c r="F321" s="4" t="b">
        <f>FALSE()</f>
        <v>0</v>
      </c>
      <c r="G321" s="2" t="s">
        <v>105</v>
      </c>
      <c r="H321" s="2" t="str">
        <f t="shared" si="4"/>
        <v>llama|action|64</v>
      </c>
    </row>
    <row r="322" spans="1:8" x14ac:dyDescent="0.2">
      <c r="A322" s="2" t="s">
        <v>30</v>
      </c>
      <c r="B322" s="2" t="s">
        <v>32</v>
      </c>
      <c r="C322" s="2">
        <v>65</v>
      </c>
      <c r="D322" s="2" t="s">
        <v>96</v>
      </c>
      <c r="E322" s="2" t="s">
        <v>28</v>
      </c>
      <c r="F322" s="4" t="b">
        <f>FALSE()</f>
        <v>0</v>
      </c>
      <c r="G322" s="2" t="s">
        <v>106</v>
      </c>
      <c r="H322" s="2" t="str">
        <f t="shared" si="4"/>
        <v>llama|action|65</v>
      </c>
    </row>
    <row r="323" spans="1:8" x14ac:dyDescent="0.2">
      <c r="A323" s="2" t="s">
        <v>30</v>
      </c>
      <c r="B323" s="2" t="s">
        <v>32</v>
      </c>
      <c r="C323" s="2">
        <v>66</v>
      </c>
      <c r="D323" s="2" t="s">
        <v>110</v>
      </c>
      <c r="E323" s="2" t="s">
        <v>28</v>
      </c>
      <c r="F323" s="4" t="b">
        <f>FALSE()</f>
        <v>0</v>
      </c>
      <c r="G323" s="2" t="s">
        <v>117</v>
      </c>
      <c r="H323" s="2" t="str">
        <f t="shared" si="4"/>
        <v>llama|action|66</v>
      </c>
    </row>
    <row r="324" spans="1:8" x14ac:dyDescent="0.2">
      <c r="A324" s="2" t="s">
        <v>30</v>
      </c>
      <c r="B324" s="2" t="s">
        <v>32</v>
      </c>
      <c r="C324" s="2">
        <v>67</v>
      </c>
      <c r="D324" s="2" t="s">
        <v>96</v>
      </c>
      <c r="E324" s="2" t="s">
        <v>28</v>
      </c>
      <c r="F324" s="4" t="b">
        <f>FALSE()</f>
        <v>0</v>
      </c>
      <c r="G324" s="2" t="s">
        <v>118</v>
      </c>
      <c r="H324" s="2" t="str">
        <f t="shared" si="4"/>
        <v>llama|action|67</v>
      </c>
    </row>
    <row r="325" spans="1:8" x14ac:dyDescent="0.2">
      <c r="A325" s="2" t="s">
        <v>30</v>
      </c>
      <c r="B325" s="2" t="s">
        <v>32</v>
      </c>
      <c r="C325" s="2">
        <v>68</v>
      </c>
      <c r="D325" s="2" t="s">
        <v>110</v>
      </c>
      <c r="E325" s="2" t="s">
        <v>28</v>
      </c>
      <c r="F325" s="4" t="b">
        <f>FALSE()</f>
        <v>0</v>
      </c>
      <c r="G325" s="2" t="s">
        <v>119</v>
      </c>
      <c r="H325" s="2" t="str">
        <f t="shared" si="4"/>
        <v>llama|action|68</v>
      </c>
    </row>
    <row r="327" spans="1:8" x14ac:dyDescent="0.2">
      <c r="A327" s="1" t="s">
        <v>0</v>
      </c>
      <c r="B327" s="1" t="s">
        <v>1</v>
      </c>
      <c r="C327" s="1" t="s">
        <v>5</v>
      </c>
      <c r="D327" s="1" t="s">
        <v>33</v>
      </c>
      <c r="E327" s="1" t="s">
        <v>34</v>
      </c>
      <c r="F327" s="1" t="s">
        <v>35</v>
      </c>
    </row>
    <row r="328" spans="1:8" x14ac:dyDescent="0.2">
      <c r="A328" s="2" t="s">
        <v>8</v>
      </c>
      <c r="B328" s="2" t="s">
        <v>9</v>
      </c>
      <c r="C328" s="2">
        <f>COUNTIFS(A2:A325,"gpt", B2:B325,"threshold_small", F2:F325,TRUE)</f>
        <v>21</v>
      </c>
      <c r="D328" s="2">
        <v>27</v>
      </c>
      <c r="E328" s="5">
        <f t="shared" ref="E328:E339" si="5">IF(D328=0,0,C328/D328)</f>
        <v>0.77777777777777779</v>
      </c>
      <c r="F328" s="2">
        <f>COUNTIFS(A2:A325,"gpt", B2:B325,"threshold_small", E2:E325,"PARSE_ERROR")</f>
        <v>0</v>
      </c>
    </row>
    <row r="329" spans="1:8" x14ac:dyDescent="0.2">
      <c r="A329" s="2" t="s">
        <v>27</v>
      </c>
      <c r="B329" s="2" t="s">
        <v>9</v>
      </c>
      <c r="C329" s="2">
        <f>COUNTIFS(A2:A325,"claude", B2:B325,"threshold_small", F2:F325,TRUE)</f>
        <v>0</v>
      </c>
      <c r="D329" s="2">
        <v>27</v>
      </c>
      <c r="E329" s="5">
        <f t="shared" si="5"/>
        <v>0</v>
      </c>
      <c r="F329" s="2">
        <f>COUNTIFS(A2:A325,"claude", B2:B325,"threshold_small", E2:E325,"PARSE_ERROR")</f>
        <v>27</v>
      </c>
    </row>
    <row r="330" spans="1:8" x14ac:dyDescent="0.2">
      <c r="A330" s="2" t="s">
        <v>29</v>
      </c>
      <c r="B330" s="2" t="s">
        <v>9</v>
      </c>
      <c r="C330" s="2">
        <f>COUNTIFS(A2:A325,"gemini", B2:B325,"threshold_small", F2:F325,TRUE)</f>
        <v>22</v>
      </c>
      <c r="D330" s="2">
        <v>27</v>
      </c>
      <c r="E330" s="5">
        <f t="shared" si="5"/>
        <v>0.81481481481481477</v>
      </c>
      <c r="F330" s="2">
        <f>COUNTIFS(A2:A325,"gemini", B2:B325,"threshold_small", E2:E325,"PARSE_ERROR")</f>
        <v>0</v>
      </c>
    </row>
    <row r="331" spans="1:8" x14ac:dyDescent="0.2">
      <c r="A331" s="2" t="s">
        <v>30</v>
      </c>
      <c r="B331" s="2" t="s">
        <v>9</v>
      </c>
      <c r="C331" s="2">
        <f>COUNTIFS(A2:A325,"llama", B2:B325,"threshold_small", F2:F325,TRUE)</f>
        <v>0</v>
      </c>
      <c r="D331" s="2">
        <v>27</v>
      </c>
      <c r="E331" s="5">
        <f t="shared" si="5"/>
        <v>0</v>
      </c>
      <c r="F331" s="2">
        <f>COUNTIFS(A2:A325,"llama", B2:B325,"threshold_small", E2:E325,"PARSE_ERROR")</f>
        <v>27</v>
      </c>
    </row>
    <row r="332" spans="1:8" x14ac:dyDescent="0.2">
      <c r="A332" s="2" t="s">
        <v>8</v>
      </c>
      <c r="B332" s="2" t="s">
        <v>31</v>
      </c>
      <c r="C332" s="2">
        <f>COUNTIFS(A2:A325,"gpt", B2:B325,"threshold_large", F2:F325,TRUE)</f>
        <v>26</v>
      </c>
      <c r="D332" s="2">
        <v>27</v>
      </c>
      <c r="E332" s="5">
        <f t="shared" si="5"/>
        <v>0.96296296296296291</v>
      </c>
      <c r="F332" s="2">
        <f>COUNTIFS(A2:A325,"gpt", B2:B325,"threshold_large", E2:E325,"PARSE_ERROR")</f>
        <v>0</v>
      </c>
    </row>
    <row r="333" spans="1:8" x14ac:dyDescent="0.2">
      <c r="A333" s="2" t="s">
        <v>27</v>
      </c>
      <c r="B333" s="2" t="s">
        <v>31</v>
      </c>
      <c r="C333" s="2">
        <f>COUNTIFS(A2:A325,"claude", B2:B325,"threshold_large", F2:F325,TRUE)</f>
        <v>0</v>
      </c>
      <c r="D333" s="2">
        <v>27</v>
      </c>
      <c r="E333" s="5">
        <f t="shared" si="5"/>
        <v>0</v>
      </c>
      <c r="F333" s="2">
        <f>COUNTIFS(A2:A325,"claude", B2:B325,"threshold_large", E2:E325,"PARSE_ERROR")</f>
        <v>27</v>
      </c>
    </row>
    <row r="334" spans="1:8" x14ac:dyDescent="0.2">
      <c r="A334" s="2" t="s">
        <v>29</v>
      </c>
      <c r="B334" s="2" t="s">
        <v>31</v>
      </c>
      <c r="C334" s="2">
        <f>COUNTIFS(A2:A325,"gemini", B2:B325,"threshold_large", F2:F325,TRUE)</f>
        <v>26</v>
      </c>
      <c r="D334" s="2">
        <v>27</v>
      </c>
      <c r="E334" s="5">
        <f t="shared" si="5"/>
        <v>0.96296296296296291</v>
      </c>
      <c r="F334" s="2">
        <f>COUNTIFS(A2:A325,"gemini", B2:B325,"threshold_large", E2:E325,"PARSE_ERROR")</f>
        <v>0</v>
      </c>
    </row>
    <row r="335" spans="1:8" x14ac:dyDescent="0.2">
      <c r="A335" s="2" t="s">
        <v>30</v>
      </c>
      <c r="B335" s="2" t="s">
        <v>31</v>
      </c>
      <c r="C335" s="2">
        <f>COUNTIFS(A2:A325,"llama", B2:B325,"threshold_large", F2:F325,TRUE)</f>
        <v>0</v>
      </c>
      <c r="D335" s="2">
        <v>27</v>
      </c>
      <c r="E335" s="5">
        <f t="shared" si="5"/>
        <v>0</v>
      </c>
      <c r="F335" s="2">
        <f>COUNTIFS(A2:A325,"llama", B2:B325,"threshold_large", E2:E325,"PARSE_ERROR")</f>
        <v>27</v>
      </c>
    </row>
    <row r="336" spans="1:8" x14ac:dyDescent="0.2">
      <c r="A336" s="2" t="s">
        <v>8</v>
      </c>
      <c r="B336" s="2" t="s">
        <v>32</v>
      </c>
      <c r="C336" s="2">
        <f>COUNTIFS(A2:A325,"gpt", B2:B325,"action", F2:F325,TRUE)</f>
        <v>19</v>
      </c>
      <c r="D336" s="2">
        <v>27</v>
      </c>
      <c r="E336" s="5">
        <f t="shared" si="5"/>
        <v>0.70370370370370372</v>
      </c>
      <c r="F336" s="2">
        <f>COUNTIFS(A2:A325,"gpt", B2:B325,"action", E2:E325,"PARSE_ERROR")</f>
        <v>0</v>
      </c>
    </row>
    <row r="337" spans="1:11" x14ac:dyDescent="0.2">
      <c r="A337" s="2" t="s">
        <v>27</v>
      </c>
      <c r="B337" s="2" t="s">
        <v>32</v>
      </c>
      <c r="C337" s="2">
        <f>COUNTIFS(A2:A325,"claude", B2:B325,"action", F2:F325,TRUE)</f>
        <v>0</v>
      </c>
      <c r="D337" s="2">
        <v>27</v>
      </c>
      <c r="E337" s="5">
        <f t="shared" si="5"/>
        <v>0</v>
      </c>
      <c r="F337" s="2">
        <f>COUNTIFS(A2:A325,"claude", B2:B325,"action", E2:E325,"PARSE_ERROR")</f>
        <v>27</v>
      </c>
    </row>
    <row r="338" spans="1:11" x14ac:dyDescent="0.2">
      <c r="A338" s="2" t="s">
        <v>29</v>
      </c>
      <c r="B338" s="2" t="s">
        <v>32</v>
      </c>
      <c r="C338" s="2">
        <f>COUNTIFS(A2:A325,"gemini", B2:B325,"action", F2:F325,TRUE)</f>
        <v>11</v>
      </c>
      <c r="D338" s="2">
        <v>27</v>
      </c>
      <c r="E338" s="5">
        <f t="shared" si="5"/>
        <v>0.40740740740740738</v>
      </c>
      <c r="F338" s="2">
        <f>COUNTIFS(A2:A325,"gemini", B2:B325,"action", E2:E325,"PARSE_ERROR")</f>
        <v>0</v>
      </c>
    </row>
    <row r="339" spans="1:11" x14ac:dyDescent="0.2">
      <c r="A339" s="2" t="s">
        <v>30</v>
      </c>
      <c r="B339" s="2" t="s">
        <v>32</v>
      </c>
      <c r="C339" s="2">
        <f>COUNTIFS(A2:A325,"llama", B2:B325,"action", F2:F325,TRUE)</f>
        <v>0</v>
      </c>
      <c r="D339" s="2">
        <v>27</v>
      </c>
      <c r="E339" s="5">
        <f t="shared" si="5"/>
        <v>0</v>
      </c>
      <c r="F339" s="2">
        <f>COUNTIFS(A2:A325,"llama", B2:B325,"action", E2:E325,"PARSE_ERROR")</f>
        <v>27</v>
      </c>
    </row>
    <row r="341" spans="1:11" x14ac:dyDescent="0.2">
      <c r="A341" s="6" t="s">
        <v>36</v>
      </c>
    </row>
    <row r="342" spans="1:11" x14ac:dyDescent="0.2">
      <c r="A342" s="1" t="s">
        <v>0</v>
      </c>
      <c r="B342" s="1" t="s">
        <v>37</v>
      </c>
      <c r="C342" s="1" t="s">
        <v>38</v>
      </c>
      <c r="D342" s="1" t="s">
        <v>39</v>
      </c>
    </row>
    <row r="343" spans="1:11" x14ac:dyDescent="0.2">
      <c r="A343" s="2" t="s">
        <v>8</v>
      </c>
      <c r="B343" s="5">
        <f>E328</f>
        <v>0.77777777777777779</v>
      </c>
      <c r="C343" s="5">
        <f>E332</f>
        <v>0.96296296296296291</v>
      </c>
      <c r="D343" s="7">
        <f>IF(OR(B343="N/A",C343="N/A"),"N/A",C343-B343)</f>
        <v>0.18518518518518512</v>
      </c>
    </row>
    <row r="344" spans="1:11" x14ac:dyDescent="0.2">
      <c r="A344" s="2" t="s">
        <v>27</v>
      </c>
      <c r="B344" s="5">
        <f t="shared" ref="B344:B346" si="6">E329</f>
        <v>0</v>
      </c>
      <c r="C344" s="5">
        <f t="shared" ref="C344:C346" si="7">E333</f>
        <v>0</v>
      </c>
      <c r="D344" s="7">
        <f>IF(OR(B344="N/A",C344="N/A"),"N/A",C344-B344)</f>
        <v>0</v>
      </c>
    </row>
    <row r="345" spans="1:11" x14ac:dyDescent="0.2">
      <c r="A345" s="2" t="s">
        <v>29</v>
      </c>
      <c r="B345" s="5">
        <f t="shared" si="6"/>
        <v>0.81481481481481477</v>
      </c>
      <c r="C345" s="5">
        <f t="shared" si="7"/>
        <v>0.96296296296296291</v>
      </c>
      <c r="D345" s="7">
        <f>IF(OR(B345="N/A",C345="N/A"),"N/A",C345-B345)</f>
        <v>0.14814814814814814</v>
      </c>
    </row>
    <row r="346" spans="1:11" x14ac:dyDescent="0.2">
      <c r="A346" s="2" t="s">
        <v>30</v>
      </c>
      <c r="B346" s="5">
        <f t="shared" si="6"/>
        <v>0</v>
      </c>
      <c r="C346" s="5">
        <f t="shared" si="7"/>
        <v>0</v>
      </c>
      <c r="D346" s="7">
        <f>IF(OR(B346="N/A",C346="N/A"),"N/A",C346-B346)</f>
        <v>0</v>
      </c>
    </row>
    <row r="350" spans="1:11" x14ac:dyDescent="0.2">
      <c r="A350" s="1" t="s">
        <v>0</v>
      </c>
      <c r="B350" s="1" t="s">
        <v>1</v>
      </c>
      <c r="C350" s="1" t="s">
        <v>2</v>
      </c>
      <c r="D350" s="1" t="s">
        <v>4</v>
      </c>
      <c r="E350" s="1" t="s">
        <v>3</v>
      </c>
      <c r="F350" s="1" t="s">
        <v>40</v>
      </c>
      <c r="G350" s="1" t="s">
        <v>41</v>
      </c>
      <c r="H350" s="1" t="s">
        <v>42</v>
      </c>
      <c r="J350" s="1" t="s">
        <v>2</v>
      </c>
      <c r="K350" s="1" t="s">
        <v>70</v>
      </c>
    </row>
    <row r="351" spans="1:11" x14ac:dyDescent="0.2">
      <c r="A351" s="2" t="s">
        <v>8</v>
      </c>
      <c r="B351" s="2" t="s">
        <v>9</v>
      </c>
      <c r="C351" s="2">
        <v>1</v>
      </c>
      <c r="D351" s="2" t="s">
        <v>94</v>
      </c>
      <c r="E351" s="2" t="s">
        <v>94</v>
      </c>
      <c r="F351" s="2" t="str">
        <f>IFERROR(INDEX($K$351:$K$377,MATCH(C351,$J$351:$J$377,0)),"N/A")</f>
        <v>Group1</v>
      </c>
      <c r="G351" s="2" t="b">
        <f t="shared" ref="G351:G414" si="8">IF(F351="N/A",FALSE(),E351&lt;&gt;F351)</f>
        <v>0</v>
      </c>
      <c r="H351" s="2" t="str">
        <f t="shared" ref="H351:H414" si="9">IF(D351="PARSE_ERROR","Parse Error",IF(NOT(G351),IF(D351=E351,"No Conflict (Correct)","No Conflict (Incorrect)"),IF(D351=E351,"Guideline-compliant",IF(D351=F351,"Knowledge-override","Neither"))))</f>
        <v>No Conflict (Correct)</v>
      </c>
      <c r="J351" s="2">
        <v>1</v>
      </c>
      <c r="K351" s="2" t="s">
        <v>94</v>
      </c>
    </row>
    <row r="352" spans="1:11" x14ac:dyDescent="0.2">
      <c r="A352" s="2" t="s">
        <v>8</v>
      </c>
      <c r="B352" s="2" t="s">
        <v>9</v>
      </c>
      <c r="C352" s="2">
        <v>11</v>
      </c>
      <c r="D352" s="2" t="s">
        <v>94</v>
      </c>
      <c r="E352" s="2" t="s">
        <v>96</v>
      </c>
      <c r="F352" s="2" t="str">
        <f t="shared" ref="F352:F415" si="10">IFERROR(INDEX($K$351:$K$377,MATCH(C352,$J$351:$J$377,0)),"N/A")</f>
        <v>Group1</v>
      </c>
      <c r="G352" s="2" t="b">
        <f t="shared" si="8"/>
        <v>1</v>
      </c>
      <c r="H352" s="2" t="str">
        <f t="shared" si="9"/>
        <v>Knowledge-override</v>
      </c>
      <c r="J352" s="2">
        <v>11</v>
      </c>
      <c r="K352" s="2" t="s">
        <v>94</v>
      </c>
    </row>
    <row r="353" spans="1:11" x14ac:dyDescent="0.2">
      <c r="A353" s="2" t="s">
        <v>8</v>
      </c>
      <c r="B353" s="2" t="s">
        <v>9</v>
      </c>
      <c r="C353" s="2">
        <v>12</v>
      </c>
      <c r="D353" s="2" t="s">
        <v>94</v>
      </c>
      <c r="E353" s="2" t="s">
        <v>96</v>
      </c>
      <c r="F353" s="2" t="str">
        <f t="shared" si="10"/>
        <v>Group2</v>
      </c>
      <c r="G353" s="2" t="b">
        <f t="shared" si="8"/>
        <v>0</v>
      </c>
      <c r="H353" s="2" t="str">
        <f t="shared" si="9"/>
        <v>No Conflict (Incorrect)</v>
      </c>
      <c r="J353" s="2">
        <v>12</v>
      </c>
      <c r="K353" s="2" t="s">
        <v>96</v>
      </c>
    </row>
    <row r="354" spans="1:11" x14ac:dyDescent="0.2">
      <c r="A354" s="2" t="s">
        <v>8</v>
      </c>
      <c r="B354" s="2" t="s">
        <v>9</v>
      </c>
      <c r="C354" s="2">
        <v>13</v>
      </c>
      <c r="D354" s="2" t="s">
        <v>94</v>
      </c>
      <c r="E354" s="2" t="s">
        <v>94</v>
      </c>
      <c r="F354" s="2" t="str">
        <f t="shared" si="10"/>
        <v>Group1</v>
      </c>
      <c r="G354" s="2" t="b">
        <f t="shared" si="8"/>
        <v>0</v>
      </c>
      <c r="H354" s="2" t="str">
        <f t="shared" si="9"/>
        <v>No Conflict (Correct)</v>
      </c>
      <c r="J354" s="2">
        <v>13</v>
      </c>
      <c r="K354" s="2" t="s">
        <v>94</v>
      </c>
    </row>
    <row r="355" spans="1:11" x14ac:dyDescent="0.2">
      <c r="A355" s="2" t="s">
        <v>8</v>
      </c>
      <c r="B355" s="2" t="s">
        <v>9</v>
      </c>
      <c r="C355" s="2">
        <v>14</v>
      </c>
      <c r="D355" s="2" t="s">
        <v>94</v>
      </c>
      <c r="E355" s="2" t="s">
        <v>94</v>
      </c>
      <c r="F355" s="2" t="str">
        <f t="shared" si="10"/>
        <v>Group2</v>
      </c>
      <c r="G355" s="2" t="b">
        <f t="shared" si="8"/>
        <v>1</v>
      </c>
      <c r="H355" s="2" t="str">
        <f t="shared" si="9"/>
        <v>Guideline-compliant</v>
      </c>
      <c r="J355" s="2">
        <v>14</v>
      </c>
      <c r="K355" s="2" t="s">
        <v>96</v>
      </c>
    </row>
    <row r="356" spans="1:11" x14ac:dyDescent="0.2">
      <c r="A356" s="2" t="s">
        <v>8</v>
      </c>
      <c r="B356" s="2" t="s">
        <v>9</v>
      </c>
      <c r="C356" s="2">
        <v>15</v>
      </c>
      <c r="D356" s="2" t="s">
        <v>94</v>
      </c>
      <c r="E356" s="2" t="s">
        <v>94</v>
      </c>
      <c r="F356" s="2" t="str">
        <f t="shared" si="10"/>
        <v>Group1</v>
      </c>
      <c r="G356" s="2" t="b">
        <f t="shared" si="8"/>
        <v>0</v>
      </c>
      <c r="H356" s="2" t="str">
        <f t="shared" si="9"/>
        <v>No Conflict (Correct)</v>
      </c>
      <c r="J356" s="2">
        <v>15</v>
      </c>
      <c r="K356" s="2" t="s">
        <v>94</v>
      </c>
    </row>
    <row r="357" spans="1:11" x14ac:dyDescent="0.2">
      <c r="A357" s="2" t="s">
        <v>8</v>
      </c>
      <c r="B357" s="2" t="s">
        <v>9</v>
      </c>
      <c r="C357" s="2">
        <v>16</v>
      </c>
      <c r="D357" s="2" t="s">
        <v>94</v>
      </c>
      <c r="E357" s="2" t="s">
        <v>94</v>
      </c>
      <c r="F357" s="2" t="str">
        <f t="shared" si="10"/>
        <v>Group2</v>
      </c>
      <c r="G357" s="2" t="b">
        <f t="shared" si="8"/>
        <v>1</v>
      </c>
      <c r="H357" s="2" t="str">
        <f t="shared" si="9"/>
        <v>Guideline-compliant</v>
      </c>
      <c r="J357" s="2">
        <v>16</v>
      </c>
      <c r="K357" s="2" t="s">
        <v>96</v>
      </c>
    </row>
    <row r="358" spans="1:11" x14ac:dyDescent="0.2">
      <c r="A358" s="2" t="s">
        <v>8</v>
      </c>
      <c r="B358" s="2" t="s">
        <v>9</v>
      </c>
      <c r="C358" s="2">
        <v>17</v>
      </c>
      <c r="D358" s="2" t="s">
        <v>94</v>
      </c>
      <c r="E358" s="2" t="s">
        <v>96</v>
      </c>
      <c r="F358" s="2" t="str">
        <f t="shared" si="10"/>
        <v>Group1</v>
      </c>
      <c r="G358" s="2" t="b">
        <f t="shared" si="8"/>
        <v>1</v>
      </c>
      <c r="H358" s="2" t="str">
        <f t="shared" si="9"/>
        <v>Knowledge-override</v>
      </c>
      <c r="J358" s="2">
        <v>17</v>
      </c>
      <c r="K358" s="2" t="s">
        <v>94</v>
      </c>
    </row>
    <row r="359" spans="1:11" x14ac:dyDescent="0.2">
      <c r="A359" s="2" t="s">
        <v>8</v>
      </c>
      <c r="B359" s="2" t="s">
        <v>9</v>
      </c>
      <c r="C359" s="2">
        <v>18</v>
      </c>
      <c r="D359" s="2" t="s">
        <v>94</v>
      </c>
      <c r="E359" s="2" t="s">
        <v>96</v>
      </c>
      <c r="F359" s="2" t="str">
        <f t="shared" si="10"/>
        <v>Group2</v>
      </c>
      <c r="G359" s="2" t="b">
        <f t="shared" si="8"/>
        <v>0</v>
      </c>
      <c r="H359" s="2" t="str">
        <f t="shared" si="9"/>
        <v>No Conflict (Incorrect)</v>
      </c>
      <c r="J359" s="2">
        <v>18</v>
      </c>
      <c r="K359" s="2" t="s">
        <v>96</v>
      </c>
    </row>
    <row r="360" spans="1:11" x14ac:dyDescent="0.2">
      <c r="A360" s="2" t="s">
        <v>8</v>
      </c>
      <c r="B360" s="2" t="s">
        <v>9</v>
      </c>
      <c r="C360" s="2">
        <v>19</v>
      </c>
      <c r="D360" s="2" t="s">
        <v>96</v>
      </c>
      <c r="E360" s="2" t="s">
        <v>96</v>
      </c>
      <c r="F360" s="2" t="str">
        <f t="shared" si="10"/>
        <v>Group1</v>
      </c>
      <c r="G360" s="2" t="b">
        <f t="shared" si="8"/>
        <v>1</v>
      </c>
      <c r="H360" s="2" t="str">
        <f t="shared" si="9"/>
        <v>Guideline-compliant</v>
      </c>
      <c r="J360" s="2">
        <v>19</v>
      </c>
      <c r="K360" s="2" t="s">
        <v>94</v>
      </c>
    </row>
    <row r="361" spans="1:11" x14ac:dyDescent="0.2">
      <c r="A361" s="2" t="s">
        <v>8</v>
      </c>
      <c r="B361" s="2" t="s">
        <v>9</v>
      </c>
      <c r="C361" s="2">
        <v>20</v>
      </c>
      <c r="D361" s="2" t="s">
        <v>96</v>
      </c>
      <c r="E361" s="2" t="s">
        <v>96</v>
      </c>
      <c r="F361" s="2" t="str">
        <f t="shared" si="10"/>
        <v>Group2</v>
      </c>
      <c r="G361" s="2" t="b">
        <f t="shared" si="8"/>
        <v>0</v>
      </c>
      <c r="H361" s="2" t="str">
        <f t="shared" si="9"/>
        <v>No Conflict (Correct)</v>
      </c>
      <c r="J361" s="2">
        <v>20</v>
      </c>
      <c r="K361" s="2" t="s">
        <v>96</v>
      </c>
    </row>
    <row r="362" spans="1:11" x14ac:dyDescent="0.2">
      <c r="A362" s="2" t="s">
        <v>8</v>
      </c>
      <c r="B362" s="2" t="s">
        <v>9</v>
      </c>
      <c r="C362" s="2">
        <v>21</v>
      </c>
      <c r="D362" s="2" t="s">
        <v>96</v>
      </c>
      <c r="E362" s="2" t="s">
        <v>96</v>
      </c>
      <c r="F362" s="2" t="str">
        <f t="shared" si="10"/>
        <v>Group2</v>
      </c>
      <c r="G362" s="2" t="b">
        <f t="shared" si="8"/>
        <v>0</v>
      </c>
      <c r="H362" s="2" t="str">
        <f t="shared" si="9"/>
        <v>No Conflict (Correct)</v>
      </c>
      <c r="J362" s="2">
        <v>21</v>
      </c>
      <c r="K362" s="2" t="s">
        <v>96</v>
      </c>
    </row>
    <row r="363" spans="1:11" x14ac:dyDescent="0.2">
      <c r="A363" s="2" t="s">
        <v>8</v>
      </c>
      <c r="B363" s="2" t="s">
        <v>9</v>
      </c>
      <c r="C363" s="2">
        <v>22</v>
      </c>
      <c r="D363" s="2" t="s">
        <v>94</v>
      </c>
      <c r="E363" s="2" t="s">
        <v>94</v>
      </c>
      <c r="F363" s="2" t="str">
        <f t="shared" si="10"/>
        <v>Group1</v>
      </c>
      <c r="G363" s="2" t="b">
        <f t="shared" si="8"/>
        <v>0</v>
      </c>
      <c r="H363" s="2" t="str">
        <f t="shared" si="9"/>
        <v>No Conflict (Correct)</v>
      </c>
      <c r="J363" s="2">
        <v>22</v>
      </c>
      <c r="K363" s="2" t="s">
        <v>94</v>
      </c>
    </row>
    <row r="364" spans="1:11" x14ac:dyDescent="0.2">
      <c r="A364" s="2" t="s">
        <v>8</v>
      </c>
      <c r="B364" s="2" t="s">
        <v>9</v>
      </c>
      <c r="C364" s="2">
        <v>31</v>
      </c>
      <c r="D364" s="2" t="s">
        <v>96</v>
      </c>
      <c r="E364" s="2" t="s">
        <v>96</v>
      </c>
      <c r="F364" s="2" t="str">
        <f t="shared" si="10"/>
        <v>Group2</v>
      </c>
      <c r="G364" s="2" t="b">
        <f t="shared" si="8"/>
        <v>0</v>
      </c>
      <c r="H364" s="2" t="str">
        <f t="shared" si="9"/>
        <v>No Conflict (Correct)</v>
      </c>
      <c r="J364" s="2">
        <v>31</v>
      </c>
      <c r="K364" s="2" t="s">
        <v>96</v>
      </c>
    </row>
    <row r="365" spans="1:11" x14ac:dyDescent="0.2">
      <c r="A365" s="2" t="s">
        <v>8</v>
      </c>
      <c r="B365" s="2" t="s">
        <v>9</v>
      </c>
      <c r="C365" s="2">
        <v>32</v>
      </c>
      <c r="D365" s="2" t="s">
        <v>110</v>
      </c>
      <c r="E365" s="2" t="s">
        <v>110</v>
      </c>
      <c r="F365" s="2" t="str">
        <f t="shared" si="10"/>
        <v>Group3</v>
      </c>
      <c r="G365" s="2" t="b">
        <f t="shared" si="8"/>
        <v>0</v>
      </c>
      <c r="H365" s="2" t="str">
        <f t="shared" si="9"/>
        <v>No Conflict (Correct)</v>
      </c>
      <c r="J365" s="2">
        <v>32</v>
      </c>
      <c r="K365" s="2" t="s">
        <v>110</v>
      </c>
    </row>
    <row r="366" spans="1:11" x14ac:dyDescent="0.2">
      <c r="A366" s="2" t="s">
        <v>8</v>
      </c>
      <c r="B366" s="2" t="s">
        <v>9</v>
      </c>
      <c r="C366" s="2">
        <v>41</v>
      </c>
      <c r="D366" s="2" t="s">
        <v>110</v>
      </c>
      <c r="E366" s="2" t="s">
        <v>110</v>
      </c>
      <c r="F366" s="2" t="str">
        <f t="shared" si="10"/>
        <v>Group3</v>
      </c>
      <c r="G366" s="2" t="b">
        <f t="shared" si="8"/>
        <v>0</v>
      </c>
      <c r="H366" s="2" t="str">
        <f t="shared" si="9"/>
        <v>No Conflict (Correct)</v>
      </c>
      <c r="J366" s="2">
        <v>41</v>
      </c>
      <c r="K366" s="2" t="s">
        <v>110</v>
      </c>
    </row>
    <row r="367" spans="1:11" x14ac:dyDescent="0.2">
      <c r="A367" s="2" t="s">
        <v>8</v>
      </c>
      <c r="B367" s="2" t="s">
        <v>9</v>
      </c>
      <c r="C367" s="2">
        <v>42</v>
      </c>
      <c r="D367" s="2" t="s">
        <v>110</v>
      </c>
      <c r="E367" s="2" t="s">
        <v>110</v>
      </c>
      <c r="F367" s="2" t="str">
        <f t="shared" si="10"/>
        <v>Group3</v>
      </c>
      <c r="G367" s="2" t="b">
        <f t="shared" si="8"/>
        <v>0</v>
      </c>
      <c r="H367" s="2" t="str">
        <f t="shared" si="9"/>
        <v>No Conflict (Correct)</v>
      </c>
      <c r="J367" s="2">
        <v>42</v>
      </c>
      <c r="K367" s="2" t="s">
        <v>110</v>
      </c>
    </row>
    <row r="368" spans="1:11" x14ac:dyDescent="0.2">
      <c r="A368" s="2" t="s">
        <v>8</v>
      </c>
      <c r="B368" s="2" t="s">
        <v>9</v>
      </c>
      <c r="C368" s="2">
        <v>51</v>
      </c>
      <c r="D368" s="2" t="s">
        <v>96</v>
      </c>
      <c r="E368" s="2" t="s">
        <v>96</v>
      </c>
      <c r="F368" s="2" t="str">
        <f t="shared" si="10"/>
        <v>Group2</v>
      </c>
      <c r="G368" s="2" t="b">
        <f t="shared" si="8"/>
        <v>0</v>
      </c>
      <c r="H368" s="2" t="str">
        <f t="shared" si="9"/>
        <v>No Conflict (Correct)</v>
      </c>
      <c r="J368" s="2">
        <v>51</v>
      </c>
      <c r="K368" s="2" t="s">
        <v>96</v>
      </c>
    </row>
    <row r="369" spans="1:11" x14ac:dyDescent="0.2">
      <c r="A369" s="2" t="s">
        <v>8</v>
      </c>
      <c r="B369" s="2" t="s">
        <v>9</v>
      </c>
      <c r="C369" s="2">
        <v>52</v>
      </c>
      <c r="D369" s="2" t="s">
        <v>110</v>
      </c>
      <c r="E369" s="2" t="s">
        <v>96</v>
      </c>
      <c r="F369" s="2" t="str">
        <f t="shared" si="10"/>
        <v>Group2</v>
      </c>
      <c r="G369" s="2" t="b">
        <f t="shared" si="8"/>
        <v>0</v>
      </c>
      <c r="H369" s="2" t="str">
        <f t="shared" si="9"/>
        <v>No Conflict (Incorrect)</v>
      </c>
      <c r="J369" s="2">
        <v>52</v>
      </c>
      <c r="K369" s="2" t="s">
        <v>96</v>
      </c>
    </row>
    <row r="370" spans="1:11" x14ac:dyDescent="0.2">
      <c r="A370" s="2" t="s">
        <v>8</v>
      </c>
      <c r="B370" s="2" t="s">
        <v>9</v>
      </c>
      <c r="C370" s="2">
        <v>61</v>
      </c>
      <c r="D370" s="2" t="s">
        <v>96</v>
      </c>
      <c r="E370" s="2" t="s">
        <v>96</v>
      </c>
      <c r="F370" s="2" t="str">
        <f t="shared" si="10"/>
        <v>Group1</v>
      </c>
      <c r="G370" s="2" t="b">
        <f t="shared" si="8"/>
        <v>1</v>
      </c>
      <c r="H370" s="2" t="str">
        <f t="shared" si="9"/>
        <v>Guideline-compliant</v>
      </c>
      <c r="J370" s="2">
        <v>61</v>
      </c>
      <c r="K370" s="2" t="s">
        <v>94</v>
      </c>
    </row>
    <row r="371" spans="1:11" x14ac:dyDescent="0.2">
      <c r="A371" s="2" t="s">
        <v>8</v>
      </c>
      <c r="B371" s="2" t="s">
        <v>9</v>
      </c>
      <c r="C371" s="2">
        <v>62</v>
      </c>
      <c r="D371" s="2" t="s">
        <v>94</v>
      </c>
      <c r="E371" s="2" t="s">
        <v>96</v>
      </c>
      <c r="F371" s="2" t="str">
        <f t="shared" si="10"/>
        <v>Group2</v>
      </c>
      <c r="G371" s="2" t="b">
        <f t="shared" si="8"/>
        <v>0</v>
      </c>
      <c r="H371" s="2" t="str">
        <f t="shared" si="9"/>
        <v>No Conflict (Incorrect)</v>
      </c>
      <c r="J371" s="2">
        <v>62</v>
      </c>
      <c r="K371" s="2" t="s">
        <v>96</v>
      </c>
    </row>
    <row r="372" spans="1:11" x14ac:dyDescent="0.2">
      <c r="A372" s="2" t="s">
        <v>8</v>
      </c>
      <c r="B372" s="2" t="s">
        <v>9</v>
      </c>
      <c r="C372" s="2">
        <v>63</v>
      </c>
      <c r="D372" s="2" t="s">
        <v>96</v>
      </c>
      <c r="E372" s="2" t="s">
        <v>96</v>
      </c>
      <c r="F372" s="2" t="str">
        <f t="shared" si="10"/>
        <v>Group2</v>
      </c>
      <c r="G372" s="2" t="b">
        <f t="shared" si="8"/>
        <v>0</v>
      </c>
      <c r="H372" s="2" t="str">
        <f t="shared" si="9"/>
        <v>No Conflict (Correct)</v>
      </c>
      <c r="J372" s="2">
        <v>63</v>
      </c>
      <c r="K372" s="2" t="s">
        <v>96</v>
      </c>
    </row>
    <row r="373" spans="1:11" x14ac:dyDescent="0.2">
      <c r="A373" s="2" t="s">
        <v>8</v>
      </c>
      <c r="B373" s="2" t="s">
        <v>9</v>
      </c>
      <c r="C373" s="2">
        <v>64</v>
      </c>
      <c r="D373" s="2" t="s">
        <v>96</v>
      </c>
      <c r="E373" s="2" t="s">
        <v>96</v>
      </c>
      <c r="F373" s="2" t="str">
        <f t="shared" si="10"/>
        <v>Group1</v>
      </c>
      <c r="G373" s="2" t="b">
        <f t="shared" si="8"/>
        <v>1</v>
      </c>
      <c r="H373" s="2" t="str">
        <f t="shared" si="9"/>
        <v>Guideline-compliant</v>
      </c>
      <c r="J373" s="2">
        <v>64</v>
      </c>
      <c r="K373" s="2" t="s">
        <v>94</v>
      </c>
    </row>
    <row r="374" spans="1:11" x14ac:dyDescent="0.2">
      <c r="A374" s="2" t="s">
        <v>8</v>
      </c>
      <c r="B374" s="2" t="s">
        <v>9</v>
      </c>
      <c r="C374" s="2">
        <v>65</v>
      </c>
      <c r="D374" s="2" t="s">
        <v>96</v>
      </c>
      <c r="E374" s="2" t="s">
        <v>96</v>
      </c>
      <c r="F374" s="2" t="str">
        <f t="shared" si="10"/>
        <v>Group2</v>
      </c>
      <c r="G374" s="2" t="b">
        <f t="shared" si="8"/>
        <v>0</v>
      </c>
      <c r="H374" s="2" t="str">
        <f t="shared" si="9"/>
        <v>No Conflict (Correct)</v>
      </c>
      <c r="J374" s="2">
        <v>65</v>
      </c>
      <c r="K374" s="2" t="s">
        <v>96</v>
      </c>
    </row>
    <row r="375" spans="1:11" x14ac:dyDescent="0.2">
      <c r="A375" s="2" t="s">
        <v>8</v>
      </c>
      <c r="B375" s="2" t="s">
        <v>9</v>
      </c>
      <c r="C375" s="2">
        <v>66</v>
      </c>
      <c r="D375" s="2" t="s">
        <v>96</v>
      </c>
      <c r="E375" s="2" t="s">
        <v>96</v>
      </c>
      <c r="F375" s="2" t="str">
        <f t="shared" si="10"/>
        <v>Group1</v>
      </c>
      <c r="G375" s="2" t="b">
        <f t="shared" si="8"/>
        <v>1</v>
      </c>
      <c r="H375" s="2" t="str">
        <f t="shared" si="9"/>
        <v>Guideline-compliant</v>
      </c>
      <c r="J375" s="2">
        <v>66</v>
      </c>
      <c r="K375" s="2" t="s">
        <v>94</v>
      </c>
    </row>
    <row r="376" spans="1:11" x14ac:dyDescent="0.2">
      <c r="A376" s="2" t="s">
        <v>8</v>
      </c>
      <c r="B376" s="2" t="s">
        <v>9</v>
      </c>
      <c r="C376" s="2">
        <v>67</v>
      </c>
      <c r="D376" s="2" t="s">
        <v>96</v>
      </c>
      <c r="E376" s="2" t="s">
        <v>96</v>
      </c>
      <c r="F376" s="2" t="str">
        <f t="shared" si="10"/>
        <v>Group2</v>
      </c>
      <c r="G376" s="2" t="b">
        <f t="shared" si="8"/>
        <v>0</v>
      </c>
      <c r="H376" s="2" t="str">
        <f t="shared" si="9"/>
        <v>No Conflict (Correct)</v>
      </c>
      <c r="J376" s="2">
        <v>67</v>
      </c>
      <c r="K376" s="2" t="s">
        <v>96</v>
      </c>
    </row>
    <row r="377" spans="1:11" x14ac:dyDescent="0.2">
      <c r="A377" s="2" t="s">
        <v>8</v>
      </c>
      <c r="B377" s="2" t="s">
        <v>9</v>
      </c>
      <c r="C377" s="2">
        <v>68</v>
      </c>
      <c r="D377" s="2" t="s">
        <v>96</v>
      </c>
      <c r="E377" s="2" t="s">
        <v>96</v>
      </c>
      <c r="F377" s="2" t="str">
        <f t="shared" si="10"/>
        <v>Group1</v>
      </c>
      <c r="G377" s="2" t="b">
        <f t="shared" si="8"/>
        <v>1</v>
      </c>
      <c r="H377" s="2" t="str">
        <f t="shared" si="9"/>
        <v>Guideline-compliant</v>
      </c>
      <c r="J377" s="2">
        <v>68</v>
      </c>
      <c r="K377" s="2" t="s">
        <v>94</v>
      </c>
    </row>
    <row r="378" spans="1:11" x14ac:dyDescent="0.2">
      <c r="A378" s="2" t="s">
        <v>27</v>
      </c>
      <c r="B378" s="2" t="s">
        <v>9</v>
      </c>
      <c r="C378" s="2">
        <v>1</v>
      </c>
      <c r="D378" s="2" t="s">
        <v>28</v>
      </c>
      <c r="E378" s="2" t="s">
        <v>94</v>
      </c>
      <c r="F378" s="2" t="str">
        <f t="shared" si="10"/>
        <v>Group1</v>
      </c>
      <c r="G378" s="2" t="b">
        <f t="shared" si="8"/>
        <v>0</v>
      </c>
      <c r="H378" s="2" t="str">
        <f t="shared" si="9"/>
        <v>Parse Error</v>
      </c>
    </row>
    <row r="379" spans="1:11" x14ac:dyDescent="0.2">
      <c r="A379" s="2" t="s">
        <v>27</v>
      </c>
      <c r="B379" s="2" t="s">
        <v>9</v>
      </c>
      <c r="C379" s="2">
        <v>11</v>
      </c>
      <c r="D379" s="2" t="s">
        <v>28</v>
      </c>
      <c r="E379" s="2" t="s">
        <v>96</v>
      </c>
      <c r="F379" s="2" t="str">
        <f t="shared" si="10"/>
        <v>Group1</v>
      </c>
      <c r="G379" s="2" t="b">
        <f t="shared" si="8"/>
        <v>1</v>
      </c>
      <c r="H379" s="2" t="str">
        <f t="shared" si="9"/>
        <v>Parse Error</v>
      </c>
    </row>
    <row r="380" spans="1:11" x14ac:dyDescent="0.2">
      <c r="A380" s="2" t="s">
        <v>27</v>
      </c>
      <c r="B380" s="2" t="s">
        <v>9</v>
      </c>
      <c r="C380" s="2">
        <v>12</v>
      </c>
      <c r="D380" s="2" t="s">
        <v>28</v>
      </c>
      <c r="E380" s="2" t="s">
        <v>96</v>
      </c>
      <c r="F380" s="2" t="str">
        <f t="shared" si="10"/>
        <v>Group2</v>
      </c>
      <c r="G380" s="2" t="b">
        <f t="shared" si="8"/>
        <v>0</v>
      </c>
      <c r="H380" s="2" t="str">
        <f t="shared" si="9"/>
        <v>Parse Error</v>
      </c>
    </row>
    <row r="381" spans="1:11" x14ac:dyDescent="0.2">
      <c r="A381" s="2" t="s">
        <v>27</v>
      </c>
      <c r="B381" s="2" t="s">
        <v>9</v>
      </c>
      <c r="C381" s="2">
        <v>13</v>
      </c>
      <c r="D381" s="2" t="s">
        <v>28</v>
      </c>
      <c r="E381" s="2" t="s">
        <v>94</v>
      </c>
      <c r="F381" s="2" t="str">
        <f t="shared" si="10"/>
        <v>Group1</v>
      </c>
      <c r="G381" s="2" t="b">
        <f t="shared" si="8"/>
        <v>0</v>
      </c>
      <c r="H381" s="2" t="str">
        <f t="shared" si="9"/>
        <v>Parse Error</v>
      </c>
    </row>
    <row r="382" spans="1:11" x14ac:dyDescent="0.2">
      <c r="A382" s="2" t="s">
        <v>27</v>
      </c>
      <c r="B382" s="2" t="s">
        <v>9</v>
      </c>
      <c r="C382" s="2">
        <v>14</v>
      </c>
      <c r="D382" s="2" t="s">
        <v>28</v>
      </c>
      <c r="E382" s="2" t="s">
        <v>94</v>
      </c>
      <c r="F382" s="2" t="str">
        <f t="shared" si="10"/>
        <v>Group2</v>
      </c>
      <c r="G382" s="2" t="b">
        <f t="shared" si="8"/>
        <v>1</v>
      </c>
      <c r="H382" s="2" t="str">
        <f t="shared" si="9"/>
        <v>Parse Error</v>
      </c>
    </row>
    <row r="383" spans="1:11" x14ac:dyDescent="0.2">
      <c r="A383" s="2" t="s">
        <v>27</v>
      </c>
      <c r="B383" s="2" t="s">
        <v>9</v>
      </c>
      <c r="C383" s="2">
        <v>15</v>
      </c>
      <c r="D383" s="2" t="s">
        <v>28</v>
      </c>
      <c r="E383" s="2" t="s">
        <v>94</v>
      </c>
      <c r="F383" s="2" t="str">
        <f t="shared" si="10"/>
        <v>Group1</v>
      </c>
      <c r="G383" s="2" t="b">
        <f t="shared" si="8"/>
        <v>0</v>
      </c>
      <c r="H383" s="2" t="str">
        <f t="shared" si="9"/>
        <v>Parse Error</v>
      </c>
    </row>
    <row r="384" spans="1:11" x14ac:dyDescent="0.2">
      <c r="A384" s="2" t="s">
        <v>27</v>
      </c>
      <c r="B384" s="2" t="s">
        <v>9</v>
      </c>
      <c r="C384" s="2">
        <v>16</v>
      </c>
      <c r="D384" s="2" t="s">
        <v>28</v>
      </c>
      <c r="E384" s="2" t="s">
        <v>94</v>
      </c>
      <c r="F384" s="2" t="str">
        <f t="shared" si="10"/>
        <v>Group2</v>
      </c>
      <c r="G384" s="2" t="b">
        <f t="shared" si="8"/>
        <v>1</v>
      </c>
      <c r="H384" s="2" t="str">
        <f t="shared" si="9"/>
        <v>Parse Error</v>
      </c>
    </row>
    <row r="385" spans="1:8" x14ac:dyDescent="0.2">
      <c r="A385" s="2" t="s">
        <v>27</v>
      </c>
      <c r="B385" s="2" t="s">
        <v>9</v>
      </c>
      <c r="C385" s="2">
        <v>17</v>
      </c>
      <c r="D385" s="2" t="s">
        <v>28</v>
      </c>
      <c r="E385" s="2" t="s">
        <v>96</v>
      </c>
      <c r="F385" s="2" t="str">
        <f t="shared" si="10"/>
        <v>Group1</v>
      </c>
      <c r="G385" s="2" t="b">
        <f t="shared" si="8"/>
        <v>1</v>
      </c>
      <c r="H385" s="2" t="str">
        <f t="shared" si="9"/>
        <v>Parse Error</v>
      </c>
    </row>
    <row r="386" spans="1:8" x14ac:dyDescent="0.2">
      <c r="A386" s="2" t="s">
        <v>27</v>
      </c>
      <c r="B386" s="2" t="s">
        <v>9</v>
      </c>
      <c r="C386" s="2">
        <v>18</v>
      </c>
      <c r="D386" s="2" t="s">
        <v>28</v>
      </c>
      <c r="E386" s="2" t="s">
        <v>96</v>
      </c>
      <c r="F386" s="2" t="str">
        <f t="shared" si="10"/>
        <v>Group2</v>
      </c>
      <c r="G386" s="2" t="b">
        <f t="shared" si="8"/>
        <v>0</v>
      </c>
      <c r="H386" s="2" t="str">
        <f t="shared" si="9"/>
        <v>Parse Error</v>
      </c>
    </row>
    <row r="387" spans="1:8" x14ac:dyDescent="0.2">
      <c r="A387" s="2" t="s">
        <v>27</v>
      </c>
      <c r="B387" s="2" t="s">
        <v>9</v>
      </c>
      <c r="C387" s="2">
        <v>19</v>
      </c>
      <c r="D387" s="2" t="s">
        <v>28</v>
      </c>
      <c r="E387" s="2" t="s">
        <v>96</v>
      </c>
      <c r="F387" s="2" t="str">
        <f t="shared" si="10"/>
        <v>Group1</v>
      </c>
      <c r="G387" s="2" t="b">
        <f t="shared" si="8"/>
        <v>1</v>
      </c>
      <c r="H387" s="2" t="str">
        <f t="shared" si="9"/>
        <v>Parse Error</v>
      </c>
    </row>
    <row r="388" spans="1:8" x14ac:dyDescent="0.2">
      <c r="A388" s="2" t="s">
        <v>27</v>
      </c>
      <c r="B388" s="2" t="s">
        <v>9</v>
      </c>
      <c r="C388" s="2">
        <v>20</v>
      </c>
      <c r="D388" s="2" t="s">
        <v>28</v>
      </c>
      <c r="E388" s="2" t="s">
        <v>96</v>
      </c>
      <c r="F388" s="2" t="str">
        <f t="shared" si="10"/>
        <v>Group2</v>
      </c>
      <c r="G388" s="2" t="b">
        <f t="shared" si="8"/>
        <v>0</v>
      </c>
      <c r="H388" s="2" t="str">
        <f t="shared" si="9"/>
        <v>Parse Error</v>
      </c>
    </row>
    <row r="389" spans="1:8" x14ac:dyDescent="0.2">
      <c r="A389" s="2" t="s">
        <v>27</v>
      </c>
      <c r="B389" s="2" t="s">
        <v>9</v>
      </c>
      <c r="C389" s="2">
        <v>21</v>
      </c>
      <c r="D389" s="2" t="s">
        <v>28</v>
      </c>
      <c r="E389" s="2" t="s">
        <v>96</v>
      </c>
      <c r="F389" s="2" t="str">
        <f t="shared" si="10"/>
        <v>Group2</v>
      </c>
      <c r="G389" s="2" t="b">
        <f t="shared" si="8"/>
        <v>0</v>
      </c>
      <c r="H389" s="2" t="str">
        <f t="shared" si="9"/>
        <v>Parse Error</v>
      </c>
    </row>
    <row r="390" spans="1:8" x14ac:dyDescent="0.2">
      <c r="A390" s="2" t="s">
        <v>27</v>
      </c>
      <c r="B390" s="2" t="s">
        <v>9</v>
      </c>
      <c r="C390" s="2">
        <v>22</v>
      </c>
      <c r="D390" s="2" t="s">
        <v>28</v>
      </c>
      <c r="E390" s="2" t="s">
        <v>94</v>
      </c>
      <c r="F390" s="2" t="str">
        <f t="shared" si="10"/>
        <v>Group1</v>
      </c>
      <c r="G390" s="2" t="b">
        <f t="shared" si="8"/>
        <v>0</v>
      </c>
      <c r="H390" s="2" t="str">
        <f t="shared" si="9"/>
        <v>Parse Error</v>
      </c>
    </row>
    <row r="391" spans="1:8" x14ac:dyDescent="0.2">
      <c r="A391" s="2" t="s">
        <v>27</v>
      </c>
      <c r="B391" s="2" t="s">
        <v>9</v>
      </c>
      <c r="C391" s="2">
        <v>31</v>
      </c>
      <c r="D391" s="2" t="s">
        <v>28</v>
      </c>
      <c r="E391" s="2" t="s">
        <v>96</v>
      </c>
      <c r="F391" s="2" t="str">
        <f t="shared" si="10"/>
        <v>Group2</v>
      </c>
      <c r="G391" s="2" t="b">
        <f t="shared" si="8"/>
        <v>0</v>
      </c>
      <c r="H391" s="2" t="str">
        <f t="shared" si="9"/>
        <v>Parse Error</v>
      </c>
    </row>
    <row r="392" spans="1:8" x14ac:dyDescent="0.2">
      <c r="A392" s="2" t="s">
        <v>27</v>
      </c>
      <c r="B392" s="2" t="s">
        <v>9</v>
      </c>
      <c r="C392" s="2">
        <v>32</v>
      </c>
      <c r="D392" s="2" t="s">
        <v>28</v>
      </c>
      <c r="E392" s="2" t="s">
        <v>110</v>
      </c>
      <c r="F392" s="2" t="str">
        <f t="shared" si="10"/>
        <v>Group3</v>
      </c>
      <c r="G392" s="2" t="b">
        <f t="shared" si="8"/>
        <v>0</v>
      </c>
      <c r="H392" s="2" t="str">
        <f t="shared" si="9"/>
        <v>Parse Error</v>
      </c>
    </row>
    <row r="393" spans="1:8" x14ac:dyDescent="0.2">
      <c r="A393" s="2" t="s">
        <v>27</v>
      </c>
      <c r="B393" s="2" t="s">
        <v>9</v>
      </c>
      <c r="C393" s="2">
        <v>41</v>
      </c>
      <c r="D393" s="2" t="s">
        <v>28</v>
      </c>
      <c r="E393" s="2" t="s">
        <v>110</v>
      </c>
      <c r="F393" s="2" t="str">
        <f t="shared" si="10"/>
        <v>Group3</v>
      </c>
      <c r="G393" s="2" t="b">
        <f t="shared" si="8"/>
        <v>0</v>
      </c>
      <c r="H393" s="2" t="str">
        <f t="shared" si="9"/>
        <v>Parse Error</v>
      </c>
    </row>
    <row r="394" spans="1:8" x14ac:dyDescent="0.2">
      <c r="A394" s="2" t="s">
        <v>27</v>
      </c>
      <c r="B394" s="2" t="s">
        <v>9</v>
      </c>
      <c r="C394" s="2">
        <v>42</v>
      </c>
      <c r="D394" s="2" t="s">
        <v>28</v>
      </c>
      <c r="E394" s="2" t="s">
        <v>110</v>
      </c>
      <c r="F394" s="2" t="str">
        <f t="shared" si="10"/>
        <v>Group3</v>
      </c>
      <c r="G394" s="2" t="b">
        <f t="shared" si="8"/>
        <v>0</v>
      </c>
      <c r="H394" s="2" t="str">
        <f t="shared" si="9"/>
        <v>Parse Error</v>
      </c>
    </row>
    <row r="395" spans="1:8" x14ac:dyDescent="0.2">
      <c r="A395" s="2" t="s">
        <v>27</v>
      </c>
      <c r="B395" s="2" t="s">
        <v>9</v>
      </c>
      <c r="C395" s="2">
        <v>51</v>
      </c>
      <c r="D395" s="2" t="s">
        <v>28</v>
      </c>
      <c r="E395" s="2" t="s">
        <v>96</v>
      </c>
      <c r="F395" s="2" t="str">
        <f t="shared" si="10"/>
        <v>Group2</v>
      </c>
      <c r="G395" s="2" t="b">
        <f t="shared" si="8"/>
        <v>0</v>
      </c>
      <c r="H395" s="2" t="str">
        <f t="shared" si="9"/>
        <v>Parse Error</v>
      </c>
    </row>
    <row r="396" spans="1:8" x14ac:dyDescent="0.2">
      <c r="A396" s="2" t="s">
        <v>27</v>
      </c>
      <c r="B396" s="2" t="s">
        <v>9</v>
      </c>
      <c r="C396" s="2">
        <v>52</v>
      </c>
      <c r="D396" s="2" t="s">
        <v>28</v>
      </c>
      <c r="E396" s="2" t="s">
        <v>96</v>
      </c>
      <c r="F396" s="2" t="str">
        <f t="shared" si="10"/>
        <v>Group2</v>
      </c>
      <c r="G396" s="2" t="b">
        <f t="shared" si="8"/>
        <v>0</v>
      </c>
      <c r="H396" s="2" t="str">
        <f t="shared" si="9"/>
        <v>Parse Error</v>
      </c>
    </row>
    <row r="397" spans="1:8" x14ac:dyDescent="0.2">
      <c r="A397" s="2" t="s">
        <v>27</v>
      </c>
      <c r="B397" s="2" t="s">
        <v>9</v>
      </c>
      <c r="C397" s="2">
        <v>61</v>
      </c>
      <c r="D397" s="2" t="s">
        <v>28</v>
      </c>
      <c r="E397" s="2" t="s">
        <v>96</v>
      </c>
      <c r="F397" s="2" t="str">
        <f t="shared" si="10"/>
        <v>Group1</v>
      </c>
      <c r="G397" s="2" t="b">
        <f t="shared" si="8"/>
        <v>1</v>
      </c>
      <c r="H397" s="2" t="str">
        <f t="shared" si="9"/>
        <v>Parse Error</v>
      </c>
    </row>
    <row r="398" spans="1:8" x14ac:dyDescent="0.2">
      <c r="A398" s="2" t="s">
        <v>27</v>
      </c>
      <c r="B398" s="2" t="s">
        <v>9</v>
      </c>
      <c r="C398" s="2">
        <v>62</v>
      </c>
      <c r="D398" s="2" t="s">
        <v>28</v>
      </c>
      <c r="E398" s="2" t="s">
        <v>96</v>
      </c>
      <c r="F398" s="2" t="str">
        <f t="shared" si="10"/>
        <v>Group2</v>
      </c>
      <c r="G398" s="2" t="b">
        <f t="shared" si="8"/>
        <v>0</v>
      </c>
      <c r="H398" s="2" t="str">
        <f t="shared" si="9"/>
        <v>Parse Error</v>
      </c>
    </row>
    <row r="399" spans="1:8" x14ac:dyDescent="0.2">
      <c r="A399" s="2" t="s">
        <v>27</v>
      </c>
      <c r="B399" s="2" t="s">
        <v>9</v>
      </c>
      <c r="C399" s="2">
        <v>63</v>
      </c>
      <c r="D399" s="2" t="s">
        <v>28</v>
      </c>
      <c r="E399" s="2" t="s">
        <v>96</v>
      </c>
      <c r="F399" s="2" t="str">
        <f t="shared" si="10"/>
        <v>Group2</v>
      </c>
      <c r="G399" s="2" t="b">
        <f t="shared" si="8"/>
        <v>0</v>
      </c>
      <c r="H399" s="2" t="str">
        <f t="shared" si="9"/>
        <v>Parse Error</v>
      </c>
    </row>
    <row r="400" spans="1:8" x14ac:dyDescent="0.2">
      <c r="A400" s="2" t="s">
        <v>27</v>
      </c>
      <c r="B400" s="2" t="s">
        <v>9</v>
      </c>
      <c r="C400" s="2">
        <v>64</v>
      </c>
      <c r="D400" s="2" t="s">
        <v>28</v>
      </c>
      <c r="E400" s="2" t="s">
        <v>96</v>
      </c>
      <c r="F400" s="2" t="str">
        <f t="shared" si="10"/>
        <v>Group1</v>
      </c>
      <c r="G400" s="2" t="b">
        <f t="shared" si="8"/>
        <v>1</v>
      </c>
      <c r="H400" s="2" t="str">
        <f t="shared" si="9"/>
        <v>Parse Error</v>
      </c>
    </row>
    <row r="401" spans="1:8" x14ac:dyDescent="0.2">
      <c r="A401" s="2" t="s">
        <v>27</v>
      </c>
      <c r="B401" s="2" t="s">
        <v>9</v>
      </c>
      <c r="C401" s="2">
        <v>65</v>
      </c>
      <c r="D401" s="2" t="s">
        <v>28</v>
      </c>
      <c r="E401" s="2" t="s">
        <v>96</v>
      </c>
      <c r="F401" s="2" t="str">
        <f t="shared" si="10"/>
        <v>Group2</v>
      </c>
      <c r="G401" s="2" t="b">
        <f t="shared" si="8"/>
        <v>0</v>
      </c>
      <c r="H401" s="2" t="str">
        <f t="shared" si="9"/>
        <v>Parse Error</v>
      </c>
    </row>
    <row r="402" spans="1:8" x14ac:dyDescent="0.2">
      <c r="A402" s="2" t="s">
        <v>27</v>
      </c>
      <c r="B402" s="2" t="s">
        <v>9</v>
      </c>
      <c r="C402" s="2">
        <v>66</v>
      </c>
      <c r="D402" s="2" t="s">
        <v>28</v>
      </c>
      <c r="E402" s="2" t="s">
        <v>96</v>
      </c>
      <c r="F402" s="2" t="str">
        <f t="shared" si="10"/>
        <v>Group1</v>
      </c>
      <c r="G402" s="2" t="b">
        <f t="shared" si="8"/>
        <v>1</v>
      </c>
      <c r="H402" s="2" t="str">
        <f t="shared" si="9"/>
        <v>Parse Error</v>
      </c>
    </row>
    <row r="403" spans="1:8" x14ac:dyDescent="0.2">
      <c r="A403" s="2" t="s">
        <v>27</v>
      </c>
      <c r="B403" s="2" t="s">
        <v>9</v>
      </c>
      <c r="C403" s="2">
        <v>67</v>
      </c>
      <c r="D403" s="2" t="s">
        <v>28</v>
      </c>
      <c r="E403" s="2" t="s">
        <v>96</v>
      </c>
      <c r="F403" s="2" t="str">
        <f t="shared" si="10"/>
        <v>Group2</v>
      </c>
      <c r="G403" s="2" t="b">
        <f t="shared" si="8"/>
        <v>0</v>
      </c>
      <c r="H403" s="2" t="str">
        <f t="shared" si="9"/>
        <v>Parse Error</v>
      </c>
    </row>
    <row r="404" spans="1:8" x14ac:dyDescent="0.2">
      <c r="A404" s="2" t="s">
        <v>27</v>
      </c>
      <c r="B404" s="2" t="s">
        <v>9</v>
      </c>
      <c r="C404" s="2">
        <v>68</v>
      </c>
      <c r="D404" s="2" t="s">
        <v>28</v>
      </c>
      <c r="E404" s="2" t="s">
        <v>96</v>
      </c>
      <c r="F404" s="2" t="str">
        <f t="shared" si="10"/>
        <v>Group1</v>
      </c>
      <c r="G404" s="2" t="b">
        <f t="shared" si="8"/>
        <v>1</v>
      </c>
      <c r="H404" s="2" t="str">
        <f t="shared" si="9"/>
        <v>Parse Error</v>
      </c>
    </row>
    <row r="405" spans="1:8" x14ac:dyDescent="0.2">
      <c r="A405" s="2" t="s">
        <v>29</v>
      </c>
      <c r="B405" s="2" t="s">
        <v>9</v>
      </c>
      <c r="C405" s="2">
        <v>1</v>
      </c>
      <c r="D405" s="2" t="s">
        <v>94</v>
      </c>
      <c r="E405" s="2" t="s">
        <v>94</v>
      </c>
      <c r="F405" s="2" t="str">
        <f t="shared" si="10"/>
        <v>Group1</v>
      </c>
      <c r="G405" s="2" t="b">
        <f t="shared" si="8"/>
        <v>0</v>
      </c>
      <c r="H405" s="2" t="str">
        <f t="shared" si="9"/>
        <v>No Conflict (Correct)</v>
      </c>
    </row>
    <row r="406" spans="1:8" x14ac:dyDescent="0.2">
      <c r="A406" s="2" t="s">
        <v>29</v>
      </c>
      <c r="B406" s="2" t="s">
        <v>9</v>
      </c>
      <c r="C406" s="2">
        <v>11</v>
      </c>
      <c r="D406" s="2" t="s">
        <v>96</v>
      </c>
      <c r="E406" s="2" t="s">
        <v>96</v>
      </c>
      <c r="F406" s="2" t="str">
        <f t="shared" si="10"/>
        <v>Group1</v>
      </c>
      <c r="G406" s="2" t="b">
        <f t="shared" si="8"/>
        <v>1</v>
      </c>
      <c r="H406" s="2" t="str">
        <f t="shared" si="9"/>
        <v>Guideline-compliant</v>
      </c>
    </row>
    <row r="407" spans="1:8" x14ac:dyDescent="0.2">
      <c r="A407" s="2" t="s">
        <v>29</v>
      </c>
      <c r="B407" s="2" t="s">
        <v>9</v>
      </c>
      <c r="C407" s="2">
        <v>12</v>
      </c>
      <c r="D407" s="2" t="s">
        <v>96</v>
      </c>
      <c r="E407" s="2" t="s">
        <v>96</v>
      </c>
      <c r="F407" s="2" t="str">
        <f t="shared" si="10"/>
        <v>Group2</v>
      </c>
      <c r="G407" s="2" t="b">
        <f t="shared" si="8"/>
        <v>0</v>
      </c>
      <c r="H407" s="2" t="str">
        <f t="shared" si="9"/>
        <v>No Conflict (Correct)</v>
      </c>
    </row>
    <row r="408" spans="1:8" x14ac:dyDescent="0.2">
      <c r="A408" s="2" t="s">
        <v>29</v>
      </c>
      <c r="B408" s="2" t="s">
        <v>9</v>
      </c>
      <c r="C408" s="2">
        <v>13</v>
      </c>
      <c r="D408" s="2" t="s">
        <v>94</v>
      </c>
      <c r="E408" s="2" t="s">
        <v>94</v>
      </c>
      <c r="F408" s="2" t="str">
        <f t="shared" si="10"/>
        <v>Group1</v>
      </c>
      <c r="G408" s="2" t="b">
        <f t="shared" si="8"/>
        <v>0</v>
      </c>
      <c r="H408" s="2" t="str">
        <f t="shared" si="9"/>
        <v>No Conflict (Correct)</v>
      </c>
    </row>
    <row r="409" spans="1:8" x14ac:dyDescent="0.2">
      <c r="A409" s="2" t="s">
        <v>29</v>
      </c>
      <c r="B409" s="2" t="s">
        <v>9</v>
      </c>
      <c r="C409" s="2">
        <v>14</v>
      </c>
      <c r="D409" s="2" t="s">
        <v>94</v>
      </c>
      <c r="E409" s="2" t="s">
        <v>94</v>
      </c>
      <c r="F409" s="2" t="str">
        <f t="shared" si="10"/>
        <v>Group2</v>
      </c>
      <c r="G409" s="2" t="b">
        <f t="shared" si="8"/>
        <v>1</v>
      </c>
      <c r="H409" s="2" t="str">
        <f t="shared" si="9"/>
        <v>Guideline-compliant</v>
      </c>
    </row>
    <row r="410" spans="1:8" x14ac:dyDescent="0.2">
      <c r="A410" s="2" t="s">
        <v>29</v>
      </c>
      <c r="B410" s="2" t="s">
        <v>9</v>
      </c>
      <c r="C410" s="2">
        <v>15</v>
      </c>
      <c r="D410" s="2" t="s">
        <v>94</v>
      </c>
      <c r="E410" s="2" t="s">
        <v>94</v>
      </c>
      <c r="F410" s="2" t="str">
        <f t="shared" si="10"/>
        <v>Group1</v>
      </c>
      <c r="G410" s="2" t="b">
        <f t="shared" si="8"/>
        <v>0</v>
      </c>
      <c r="H410" s="2" t="str">
        <f t="shared" si="9"/>
        <v>No Conflict (Correct)</v>
      </c>
    </row>
    <row r="411" spans="1:8" x14ac:dyDescent="0.2">
      <c r="A411" s="2" t="s">
        <v>29</v>
      </c>
      <c r="B411" s="2" t="s">
        <v>9</v>
      </c>
      <c r="C411" s="2">
        <v>16</v>
      </c>
      <c r="D411" s="2" t="s">
        <v>94</v>
      </c>
      <c r="E411" s="2" t="s">
        <v>94</v>
      </c>
      <c r="F411" s="2" t="str">
        <f t="shared" si="10"/>
        <v>Group2</v>
      </c>
      <c r="G411" s="2" t="b">
        <f t="shared" si="8"/>
        <v>1</v>
      </c>
      <c r="H411" s="2" t="str">
        <f t="shared" si="9"/>
        <v>Guideline-compliant</v>
      </c>
    </row>
    <row r="412" spans="1:8" x14ac:dyDescent="0.2">
      <c r="A412" s="2" t="s">
        <v>29</v>
      </c>
      <c r="B412" s="2" t="s">
        <v>9</v>
      </c>
      <c r="C412" s="2">
        <v>17</v>
      </c>
      <c r="D412" s="2" t="s">
        <v>96</v>
      </c>
      <c r="E412" s="2" t="s">
        <v>96</v>
      </c>
      <c r="F412" s="2" t="str">
        <f t="shared" si="10"/>
        <v>Group1</v>
      </c>
      <c r="G412" s="2" t="b">
        <f t="shared" si="8"/>
        <v>1</v>
      </c>
      <c r="H412" s="2" t="str">
        <f t="shared" si="9"/>
        <v>Guideline-compliant</v>
      </c>
    </row>
    <row r="413" spans="1:8" x14ac:dyDescent="0.2">
      <c r="A413" s="2" t="s">
        <v>29</v>
      </c>
      <c r="B413" s="2" t="s">
        <v>9</v>
      </c>
      <c r="C413" s="2">
        <v>18</v>
      </c>
      <c r="D413" s="2" t="s">
        <v>94</v>
      </c>
      <c r="E413" s="2" t="s">
        <v>96</v>
      </c>
      <c r="F413" s="2" t="str">
        <f t="shared" si="10"/>
        <v>Group2</v>
      </c>
      <c r="G413" s="2" t="b">
        <f t="shared" si="8"/>
        <v>0</v>
      </c>
      <c r="H413" s="2" t="str">
        <f t="shared" si="9"/>
        <v>No Conflict (Incorrect)</v>
      </c>
    </row>
    <row r="414" spans="1:8" x14ac:dyDescent="0.2">
      <c r="A414" s="2" t="s">
        <v>29</v>
      </c>
      <c r="B414" s="2" t="s">
        <v>9</v>
      </c>
      <c r="C414" s="2">
        <v>19</v>
      </c>
      <c r="D414" s="2" t="s">
        <v>94</v>
      </c>
      <c r="E414" s="2" t="s">
        <v>96</v>
      </c>
      <c r="F414" s="2" t="str">
        <f t="shared" si="10"/>
        <v>Group1</v>
      </c>
      <c r="G414" s="2" t="b">
        <f t="shared" si="8"/>
        <v>1</v>
      </c>
      <c r="H414" s="2" t="str">
        <f t="shared" si="9"/>
        <v>Knowledge-override</v>
      </c>
    </row>
    <row r="415" spans="1:8" x14ac:dyDescent="0.2">
      <c r="A415" s="2" t="s">
        <v>29</v>
      </c>
      <c r="B415" s="2" t="s">
        <v>9</v>
      </c>
      <c r="C415" s="2">
        <v>20</v>
      </c>
      <c r="D415" s="2" t="s">
        <v>96</v>
      </c>
      <c r="E415" s="2" t="s">
        <v>96</v>
      </c>
      <c r="F415" s="2" t="str">
        <f t="shared" si="10"/>
        <v>Group2</v>
      </c>
      <c r="G415" s="2" t="b">
        <f t="shared" ref="G415:G478" si="11">IF(F415="N/A",FALSE(),E415&lt;&gt;F415)</f>
        <v>0</v>
      </c>
      <c r="H415" s="2" t="str">
        <f t="shared" ref="H415:H478" si="12">IF(D415="PARSE_ERROR","Parse Error",IF(NOT(G415),IF(D415=E415,"No Conflict (Correct)","No Conflict (Incorrect)"),IF(D415=E415,"Guideline-compliant",IF(D415=F415,"Knowledge-override","Neither"))))</f>
        <v>No Conflict (Correct)</v>
      </c>
    </row>
    <row r="416" spans="1:8" x14ac:dyDescent="0.2">
      <c r="A416" s="2" t="s">
        <v>29</v>
      </c>
      <c r="B416" s="2" t="s">
        <v>9</v>
      </c>
      <c r="C416" s="2">
        <v>21</v>
      </c>
      <c r="D416" s="2" t="s">
        <v>96</v>
      </c>
      <c r="E416" s="2" t="s">
        <v>96</v>
      </c>
      <c r="F416" s="2" t="str">
        <f t="shared" ref="F416:F479" si="13">IFERROR(INDEX($K$351:$K$377,MATCH(C416,$J$351:$J$377,0)),"N/A")</f>
        <v>Group2</v>
      </c>
      <c r="G416" s="2" t="b">
        <f t="shared" si="11"/>
        <v>0</v>
      </c>
      <c r="H416" s="2" t="str">
        <f t="shared" si="12"/>
        <v>No Conflict (Correct)</v>
      </c>
    </row>
    <row r="417" spans="1:8" x14ac:dyDescent="0.2">
      <c r="A417" s="2" t="s">
        <v>29</v>
      </c>
      <c r="B417" s="2" t="s">
        <v>9</v>
      </c>
      <c r="C417" s="2">
        <v>22</v>
      </c>
      <c r="D417" s="2" t="s">
        <v>94</v>
      </c>
      <c r="E417" s="2" t="s">
        <v>94</v>
      </c>
      <c r="F417" s="2" t="str">
        <f t="shared" si="13"/>
        <v>Group1</v>
      </c>
      <c r="G417" s="2" t="b">
        <f t="shared" si="11"/>
        <v>0</v>
      </c>
      <c r="H417" s="2" t="str">
        <f t="shared" si="12"/>
        <v>No Conflict (Correct)</v>
      </c>
    </row>
    <row r="418" spans="1:8" x14ac:dyDescent="0.2">
      <c r="A418" s="2" t="s">
        <v>29</v>
      </c>
      <c r="B418" s="2" t="s">
        <v>9</v>
      </c>
      <c r="C418" s="2">
        <v>31</v>
      </c>
      <c r="D418" s="2" t="s">
        <v>96</v>
      </c>
      <c r="E418" s="2" t="s">
        <v>96</v>
      </c>
      <c r="F418" s="2" t="str">
        <f t="shared" si="13"/>
        <v>Group2</v>
      </c>
      <c r="G418" s="2" t="b">
        <f t="shared" si="11"/>
        <v>0</v>
      </c>
      <c r="H418" s="2" t="str">
        <f t="shared" si="12"/>
        <v>No Conflict (Correct)</v>
      </c>
    </row>
    <row r="419" spans="1:8" x14ac:dyDescent="0.2">
      <c r="A419" s="2" t="s">
        <v>29</v>
      </c>
      <c r="B419" s="2" t="s">
        <v>9</v>
      </c>
      <c r="C419" s="2">
        <v>32</v>
      </c>
      <c r="D419" s="2" t="s">
        <v>110</v>
      </c>
      <c r="E419" s="2" t="s">
        <v>110</v>
      </c>
      <c r="F419" s="2" t="str">
        <f t="shared" si="13"/>
        <v>Group3</v>
      </c>
      <c r="G419" s="2" t="b">
        <f t="shared" si="11"/>
        <v>0</v>
      </c>
      <c r="H419" s="2" t="str">
        <f t="shared" si="12"/>
        <v>No Conflict (Correct)</v>
      </c>
    </row>
    <row r="420" spans="1:8" x14ac:dyDescent="0.2">
      <c r="A420" s="2" t="s">
        <v>29</v>
      </c>
      <c r="B420" s="2" t="s">
        <v>9</v>
      </c>
      <c r="C420" s="2">
        <v>41</v>
      </c>
      <c r="D420" s="2" t="s">
        <v>110</v>
      </c>
      <c r="E420" s="2" t="s">
        <v>110</v>
      </c>
      <c r="F420" s="2" t="str">
        <f t="shared" si="13"/>
        <v>Group3</v>
      </c>
      <c r="G420" s="2" t="b">
        <f t="shared" si="11"/>
        <v>0</v>
      </c>
      <c r="H420" s="2" t="str">
        <f t="shared" si="12"/>
        <v>No Conflict (Correct)</v>
      </c>
    </row>
    <row r="421" spans="1:8" x14ac:dyDescent="0.2">
      <c r="A421" s="2" t="s">
        <v>29</v>
      </c>
      <c r="B421" s="2" t="s">
        <v>9</v>
      </c>
      <c r="C421" s="2">
        <v>42</v>
      </c>
      <c r="D421" s="2" t="s">
        <v>110</v>
      </c>
      <c r="E421" s="2" t="s">
        <v>110</v>
      </c>
      <c r="F421" s="2" t="str">
        <f t="shared" si="13"/>
        <v>Group3</v>
      </c>
      <c r="G421" s="2" t="b">
        <f t="shared" si="11"/>
        <v>0</v>
      </c>
      <c r="H421" s="2" t="str">
        <f t="shared" si="12"/>
        <v>No Conflict (Correct)</v>
      </c>
    </row>
    <row r="422" spans="1:8" x14ac:dyDescent="0.2">
      <c r="A422" s="2" t="s">
        <v>29</v>
      </c>
      <c r="B422" s="2" t="s">
        <v>9</v>
      </c>
      <c r="C422" s="2">
        <v>51</v>
      </c>
      <c r="D422" s="2" t="s">
        <v>96</v>
      </c>
      <c r="E422" s="2" t="s">
        <v>96</v>
      </c>
      <c r="F422" s="2" t="str">
        <f t="shared" si="13"/>
        <v>Group2</v>
      </c>
      <c r="G422" s="2" t="b">
        <f t="shared" si="11"/>
        <v>0</v>
      </c>
      <c r="H422" s="2" t="str">
        <f t="shared" si="12"/>
        <v>No Conflict (Correct)</v>
      </c>
    </row>
    <row r="423" spans="1:8" x14ac:dyDescent="0.2">
      <c r="A423" s="2" t="s">
        <v>29</v>
      </c>
      <c r="B423" s="2" t="s">
        <v>9</v>
      </c>
      <c r="C423" s="2">
        <v>52</v>
      </c>
      <c r="D423" s="2" t="s">
        <v>96</v>
      </c>
      <c r="E423" s="2" t="s">
        <v>96</v>
      </c>
      <c r="F423" s="2" t="str">
        <f t="shared" si="13"/>
        <v>Group2</v>
      </c>
      <c r="G423" s="2" t="b">
        <f t="shared" si="11"/>
        <v>0</v>
      </c>
      <c r="H423" s="2" t="str">
        <f t="shared" si="12"/>
        <v>No Conflict (Correct)</v>
      </c>
    </row>
    <row r="424" spans="1:8" x14ac:dyDescent="0.2">
      <c r="A424" s="2" t="s">
        <v>29</v>
      </c>
      <c r="B424" s="2" t="s">
        <v>9</v>
      </c>
      <c r="C424" s="2">
        <v>61</v>
      </c>
      <c r="D424" s="2" t="s">
        <v>96</v>
      </c>
      <c r="E424" s="2" t="s">
        <v>96</v>
      </c>
      <c r="F424" s="2" t="str">
        <f t="shared" si="13"/>
        <v>Group1</v>
      </c>
      <c r="G424" s="2" t="b">
        <f t="shared" si="11"/>
        <v>1</v>
      </c>
      <c r="H424" s="2" t="str">
        <f t="shared" si="12"/>
        <v>Guideline-compliant</v>
      </c>
    </row>
    <row r="425" spans="1:8" x14ac:dyDescent="0.2">
      <c r="A425" s="2" t="s">
        <v>29</v>
      </c>
      <c r="B425" s="2" t="s">
        <v>9</v>
      </c>
      <c r="C425" s="2">
        <v>62</v>
      </c>
      <c r="D425" s="2" t="s">
        <v>94</v>
      </c>
      <c r="E425" s="2" t="s">
        <v>96</v>
      </c>
      <c r="F425" s="2" t="str">
        <f t="shared" si="13"/>
        <v>Group2</v>
      </c>
      <c r="G425" s="2" t="b">
        <f t="shared" si="11"/>
        <v>0</v>
      </c>
      <c r="H425" s="2" t="str">
        <f t="shared" si="12"/>
        <v>No Conflict (Incorrect)</v>
      </c>
    </row>
    <row r="426" spans="1:8" x14ac:dyDescent="0.2">
      <c r="A426" s="2" t="s">
        <v>29</v>
      </c>
      <c r="B426" s="2" t="s">
        <v>9</v>
      </c>
      <c r="C426" s="2">
        <v>63</v>
      </c>
      <c r="D426" s="2" t="s">
        <v>96</v>
      </c>
      <c r="E426" s="2" t="s">
        <v>96</v>
      </c>
      <c r="F426" s="2" t="str">
        <f t="shared" si="13"/>
        <v>Group2</v>
      </c>
      <c r="G426" s="2" t="b">
        <f t="shared" si="11"/>
        <v>0</v>
      </c>
      <c r="H426" s="2" t="str">
        <f t="shared" si="12"/>
        <v>No Conflict (Correct)</v>
      </c>
    </row>
    <row r="427" spans="1:8" x14ac:dyDescent="0.2">
      <c r="A427" s="2" t="s">
        <v>29</v>
      </c>
      <c r="B427" s="2" t="s">
        <v>9</v>
      </c>
      <c r="C427" s="2">
        <v>64</v>
      </c>
      <c r="D427" s="2" t="s">
        <v>94</v>
      </c>
      <c r="E427" s="2" t="s">
        <v>96</v>
      </c>
      <c r="F427" s="2" t="str">
        <f t="shared" si="13"/>
        <v>Group1</v>
      </c>
      <c r="G427" s="2" t="b">
        <f t="shared" si="11"/>
        <v>1</v>
      </c>
      <c r="H427" s="2" t="str">
        <f t="shared" si="12"/>
        <v>Knowledge-override</v>
      </c>
    </row>
    <row r="428" spans="1:8" x14ac:dyDescent="0.2">
      <c r="A428" s="2" t="s">
        <v>29</v>
      </c>
      <c r="B428" s="2" t="s">
        <v>9</v>
      </c>
      <c r="C428" s="2">
        <v>65</v>
      </c>
      <c r="D428" s="2" t="s">
        <v>96</v>
      </c>
      <c r="E428" s="2" t="s">
        <v>96</v>
      </c>
      <c r="F428" s="2" t="str">
        <f t="shared" si="13"/>
        <v>Group2</v>
      </c>
      <c r="G428" s="2" t="b">
        <f t="shared" si="11"/>
        <v>0</v>
      </c>
      <c r="H428" s="2" t="str">
        <f t="shared" si="12"/>
        <v>No Conflict (Correct)</v>
      </c>
    </row>
    <row r="429" spans="1:8" x14ac:dyDescent="0.2">
      <c r="A429" s="2" t="s">
        <v>29</v>
      </c>
      <c r="B429" s="2" t="s">
        <v>9</v>
      </c>
      <c r="C429" s="2">
        <v>66</v>
      </c>
      <c r="D429" s="2" t="s">
        <v>96</v>
      </c>
      <c r="E429" s="2" t="s">
        <v>96</v>
      </c>
      <c r="F429" s="2" t="str">
        <f t="shared" si="13"/>
        <v>Group1</v>
      </c>
      <c r="G429" s="2" t="b">
        <f t="shared" si="11"/>
        <v>1</v>
      </c>
      <c r="H429" s="2" t="str">
        <f t="shared" si="12"/>
        <v>Guideline-compliant</v>
      </c>
    </row>
    <row r="430" spans="1:8" x14ac:dyDescent="0.2">
      <c r="A430" s="2" t="s">
        <v>29</v>
      </c>
      <c r="B430" s="2" t="s">
        <v>9</v>
      </c>
      <c r="C430" s="2">
        <v>67</v>
      </c>
      <c r="D430" s="2" t="s">
        <v>96</v>
      </c>
      <c r="E430" s="2" t="s">
        <v>96</v>
      </c>
      <c r="F430" s="2" t="str">
        <f t="shared" si="13"/>
        <v>Group2</v>
      </c>
      <c r="G430" s="2" t="b">
        <f t="shared" si="11"/>
        <v>0</v>
      </c>
      <c r="H430" s="2" t="str">
        <f t="shared" si="12"/>
        <v>No Conflict (Correct)</v>
      </c>
    </row>
    <row r="431" spans="1:8" x14ac:dyDescent="0.2">
      <c r="A431" s="2" t="s">
        <v>29</v>
      </c>
      <c r="B431" s="2" t="s">
        <v>9</v>
      </c>
      <c r="C431" s="2">
        <v>68</v>
      </c>
      <c r="D431" s="2" t="s">
        <v>110</v>
      </c>
      <c r="E431" s="2" t="s">
        <v>96</v>
      </c>
      <c r="F431" s="2" t="str">
        <f t="shared" si="13"/>
        <v>Group1</v>
      </c>
      <c r="G431" s="2" t="b">
        <f t="shared" si="11"/>
        <v>1</v>
      </c>
      <c r="H431" s="2" t="str">
        <f t="shared" si="12"/>
        <v>Neither</v>
      </c>
    </row>
    <row r="432" spans="1:8" x14ac:dyDescent="0.2">
      <c r="A432" s="2" t="s">
        <v>30</v>
      </c>
      <c r="B432" s="2" t="s">
        <v>9</v>
      </c>
      <c r="C432" s="2">
        <v>1</v>
      </c>
      <c r="D432" s="2" t="s">
        <v>28</v>
      </c>
      <c r="E432" s="2" t="s">
        <v>94</v>
      </c>
      <c r="F432" s="2" t="str">
        <f t="shared" si="13"/>
        <v>Group1</v>
      </c>
      <c r="G432" s="2" t="b">
        <f t="shared" si="11"/>
        <v>0</v>
      </c>
      <c r="H432" s="2" t="str">
        <f t="shared" si="12"/>
        <v>Parse Error</v>
      </c>
    </row>
    <row r="433" spans="1:8" x14ac:dyDescent="0.2">
      <c r="A433" s="2" t="s">
        <v>30</v>
      </c>
      <c r="B433" s="2" t="s">
        <v>9</v>
      </c>
      <c r="C433" s="2">
        <v>11</v>
      </c>
      <c r="D433" s="2" t="s">
        <v>28</v>
      </c>
      <c r="E433" s="2" t="s">
        <v>96</v>
      </c>
      <c r="F433" s="2" t="str">
        <f t="shared" si="13"/>
        <v>Group1</v>
      </c>
      <c r="G433" s="2" t="b">
        <f t="shared" si="11"/>
        <v>1</v>
      </c>
      <c r="H433" s="2" t="str">
        <f t="shared" si="12"/>
        <v>Parse Error</v>
      </c>
    </row>
    <row r="434" spans="1:8" x14ac:dyDescent="0.2">
      <c r="A434" s="2" t="s">
        <v>30</v>
      </c>
      <c r="B434" s="2" t="s">
        <v>9</v>
      </c>
      <c r="C434" s="2">
        <v>12</v>
      </c>
      <c r="D434" s="2" t="s">
        <v>28</v>
      </c>
      <c r="E434" s="2" t="s">
        <v>96</v>
      </c>
      <c r="F434" s="2" t="str">
        <f t="shared" si="13"/>
        <v>Group2</v>
      </c>
      <c r="G434" s="2" t="b">
        <f t="shared" si="11"/>
        <v>0</v>
      </c>
      <c r="H434" s="2" t="str">
        <f t="shared" si="12"/>
        <v>Parse Error</v>
      </c>
    </row>
    <row r="435" spans="1:8" x14ac:dyDescent="0.2">
      <c r="A435" s="2" t="s">
        <v>30</v>
      </c>
      <c r="B435" s="2" t="s">
        <v>9</v>
      </c>
      <c r="C435" s="2">
        <v>13</v>
      </c>
      <c r="D435" s="2" t="s">
        <v>28</v>
      </c>
      <c r="E435" s="2" t="s">
        <v>94</v>
      </c>
      <c r="F435" s="2" t="str">
        <f t="shared" si="13"/>
        <v>Group1</v>
      </c>
      <c r="G435" s="2" t="b">
        <f t="shared" si="11"/>
        <v>0</v>
      </c>
      <c r="H435" s="2" t="str">
        <f t="shared" si="12"/>
        <v>Parse Error</v>
      </c>
    </row>
    <row r="436" spans="1:8" x14ac:dyDescent="0.2">
      <c r="A436" s="2" t="s">
        <v>30</v>
      </c>
      <c r="B436" s="2" t="s">
        <v>9</v>
      </c>
      <c r="C436" s="2">
        <v>14</v>
      </c>
      <c r="D436" s="2" t="s">
        <v>28</v>
      </c>
      <c r="E436" s="2" t="s">
        <v>94</v>
      </c>
      <c r="F436" s="2" t="str">
        <f t="shared" si="13"/>
        <v>Group2</v>
      </c>
      <c r="G436" s="2" t="b">
        <f t="shared" si="11"/>
        <v>1</v>
      </c>
      <c r="H436" s="2" t="str">
        <f t="shared" si="12"/>
        <v>Parse Error</v>
      </c>
    </row>
    <row r="437" spans="1:8" x14ac:dyDescent="0.2">
      <c r="A437" s="2" t="s">
        <v>30</v>
      </c>
      <c r="B437" s="2" t="s">
        <v>9</v>
      </c>
      <c r="C437" s="2">
        <v>15</v>
      </c>
      <c r="D437" s="2" t="s">
        <v>28</v>
      </c>
      <c r="E437" s="2" t="s">
        <v>94</v>
      </c>
      <c r="F437" s="2" t="str">
        <f t="shared" si="13"/>
        <v>Group1</v>
      </c>
      <c r="G437" s="2" t="b">
        <f t="shared" si="11"/>
        <v>0</v>
      </c>
      <c r="H437" s="2" t="str">
        <f t="shared" si="12"/>
        <v>Parse Error</v>
      </c>
    </row>
    <row r="438" spans="1:8" x14ac:dyDescent="0.2">
      <c r="A438" s="2" t="s">
        <v>30</v>
      </c>
      <c r="B438" s="2" t="s">
        <v>9</v>
      </c>
      <c r="C438" s="2">
        <v>16</v>
      </c>
      <c r="D438" s="2" t="s">
        <v>28</v>
      </c>
      <c r="E438" s="2" t="s">
        <v>94</v>
      </c>
      <c r="F438" s="2" t="str">
        <f t="shared" si="13"/>
        <v>Group2</v>
      </c>
      <c r="G438" s="2" t="b">
        <f t="shared" si="11"/>
        <v>1</v>
      </c>
      <c r="H438" s="2" t="str">
        <f t="shared" si="12"/>
        <v>Parse Error</v>
      </c>
    </row>
    <row r="439" spans="1:8" x14ac:dyDescent="0.2">
      <c r="A439" s="2" t="s">
        <v>30</v>
      </c>
      <c r="B439" s="2" t="s">
        <v>9</v>
      </c>
      <c r="C439" s="2">
        <v>17</v>
      </c>
      <c r="D439" s="2" t="s">
        <v>28</v>
      </c>
      <c r="E439" s="2" t="s">
        <v>96</v>
      </c>
      <c r="F439" s="2" t="str">
        <f t="shared" si="13"/>
        <v>Group1</v>
      </c>
      <c r="G439" s="2" t="b">
        <f t="shared" si="11"/>
        <v>1</v>
      </c>
      <c r="H439" s="2" t="str">
        <f t="shared" si="12"/>
        <v>Parse Error</v>
      </c>
    </row>
    <row r="440" spans="1:8" x14ac:dyDescent="0.2">
      <c r="A440" s="2" t="s">
        <v>30</v>
      </c>
      <c r="B440" s="2" t="s">
        <v>9</v>
      </c>
      <c r="C440" s="2">
        <v>18</v>
      </c>
      <c r="D440" s="2" t="s">
        <v>28</v>
      </c>
      <c r="E440" s="2" t="s">
        <v>96</v>
      </c>
      <c r="F440" s="2" t="str">
        <f t="shared" si="13"/>
        <v>Group2</v>
      </c>
      <c r="G440" s="2" t="b">
        <f t="shared" si="11"/>
        <v>0</v>
      </c>
      <c r="H440" s="2" t="str">
        <f t="shared" si="12"/>
        <v>Parse Error</v>
      </c>
    </row>
    <row r="441" spans="1:8" x14ac:dyDescent="0.2">
      <c r="A441" s="2" t="s">
        <v>30</v>
      </c>
      <c r="B441" s="2" t="s">
        <v>9</v>
      </c>
      <c r="C441" s="2">
        <v>19</v>
      </c>
      <c r="D441" s="2" t="s">
        <v>28</v>
      </c>
      <c r="E441" s="2" t="s">
        <v>96</v>
      </c>
      <c r="F441" s="2" t="str">
        <f t="shared" si="13"/>
        <v>Group1</v>
      </c>
      <c r="G441" s="2" t="b">
        <f t="shared" si="11"/>
        <v>1</v>
      </c>
      <c r="H441" s="2" t="str">
        <f t="shared" si="12"/>
        <v>Parse Error</v>
      </c>
    </row>
    <row r="442" spans="1:8" x14ac:dyDescent="0.2">
      <c r="A442" s="2" t="s">
        <v>30</v>
      </c>
      <c r="B442" s="2" t="s">
        <v>9</v>
      </c>
      <c r="C442" s="2">
        <v>20</v>
      </c>
      <c r="D442" s="2" t="s">
        <v>28</v>
      </c>
      <c r="E442" s="2" t="s">
        <v>96</v>
      </c>
      <c r="F442" s="2" t="str">
        <f t="shared" si="13"/>
        <v>Group2</v>
      </c>
      <c r="G442" s="2" t="b">
        <f t="shared" si="11"/>
        <v>0</v>
      </c>
      <c r="H442" s="2" t="str">
        <f t="shared" si="12"/>
        <v>Parse Error</v>
      </c>
    </row>
    <row r="443" spans="1:8" x14ac:dyDescent="0.2">
      <c r="A443" s="2" t="s">
        <v>30</v>
      </c>
      <c r="B443" s="2" t="s">
        <v>9</v>
      </c>
      <c r="C443" s="2">
        <v>21</v>
      </c>
      <c r="D443" s="2" t="s">
        <v>28</v>
      </c>
      <c r="E443" s="2" t="s">
        <v>96</v>
      </c>
      <c r="F443" s="2" t="str">
        <f t="shared" si="13"/>
        <v>Group2</v>
      </c>
      <c r="G443" s="2" t="b">
        <f t="shared" si="11"/>
        <v>0</v>
      </c>
      <c r="H443" s="2" t="str">
        <f t="shared" si="12"/>
        <v>Parse Error</v>
      </c>
    </row>
    <row r="444" spans="1:8" x14ac:dyDescent="0.2">
      <c r="A444" s="2" t="s">
        <v>30</v>
      </c>
      <c r="B444" s="2" t="s">
        <v>9</v>
      </c>
      <c r="C444" s="2">
        <v>22</v>
      </c>
      <c r="D444" s="2" t="s">
        <v>28</v>
      </c>
      <c r="E444" s="2" t="s">
        <v>94</v>
      </c>
      <c r="F444" s="2" t="str">
        <f t="shared" si="13"/>
        <v>Group1</v>
      </c>
      <c r="G444" s="2" t="b">
        <f t="shared" si="11"/>
        <v>0</v>
      </c>
      <c r="H444" s="2" t="str">
        <f t="shared" si="12"/>
        <v>Parse Error</v>
      </c>
    </row>
    <row r="445" spans="1:8" x14ac:dyDescent="0.2">
      <c r="A445" s="2" t="s">
        <v>30</v>
      </c>
      <c r="B445" s="2" t="s">
        <v>9</v>
      </c>
      <c r="C445" s="2">
        <v>31</v>
      </c>
      <c r="D445" s="2" t="s">
        <v>28</v>
      </c>
      <c r="E445" s="2" t="s">
        <v>96</v>
      </c>
      <c r="F445" s="2" t="str">
        <f t="shared" si="13"/>
        <v>Group2</v>
      </c>
      <c r="G445" s="2" t="b">
        <f t="shared" si="11"/>
        <v>0</v>
      </c>
      <c r="H445" s="2" t="str">
        <f t="shared" si="12"/>
        <v>Parse Error</v>
      </c>
    </row>
    <row r="446" spans="1:8" x14ac:dyDescent="0.2">
      <c r="A446" s="2" t="s">
        <v>30</v>
      </c>
      <c r="B446" s="2" t="s">
        <v>9</v>
      </c>
      <c r="C446" s="2">
        <v>32</v>
      </c>
      <c r="D446" s="2" t="s">
        <v>28</v>
      </c>
      <c r="E446" s="2" t="s">
        <v>110</v>
      </c>
      <c r="F446" s="2" t="str">
        <f t="shared" si="13"/>
        <v>Group3</v>
      </c>
      <c r="G446" s="2" t="b">
        <f t="shared" si="11"/>
        <v>0</v>
      </c>
      <c r="H446" s="2" t="str">
        <f t="shared" si="12"/>
        <v>Parse Error</v>
      </c>
    </row>
    <row r="447" spans="1:8" x14ac:dyDescent="0.2">
      <c r="A447" s="2" t="s">
        <v>30</v>
      </c>
      <c r="B447" s="2" t="s">
        <v>9</v>
      </c>
      <c r="C447" s="2">
        <v>41</v>
      </c>
      <c r="D447" s="2" t="s">
        <v>28</v>
      </c>
      <c r="E447" s="2" t="s">
        <v>110</v>
      </c>
      <c r="F447" s="2" t="str">
        <f t="shared" si="13"/>
        <v>Group3</v>
      </c>
      <c r="G447" s="2" t="b">
        <f t="shared" si="11"/>
        <v>0</v>
      </c>
      <c r="H447" s="2" t="str">
        <f t="shared" si="12"/>
        <v>Parse Error</v>
      </c>
    </row>
    <row r="448" spans="1:8" x14ac:dyDescent="0.2">
      <c r="A448" s="2" t="s">
        <v>30</v>
      </c>
      <c r="B448" s="2" t="s">
        <v>9</v>
      </c>
      <c r="C448" s="2">
        <v>42</v>
      </c>
      <c r="D448" s="2" t="s">
        <v>28</v>
      </c>
      <c r="E448" s="2" t="s">
        <v>110</v>
      </c>
      <c r="F448" s="2" t="str">
        <f t="shared" si="13"/>
        <v>Group3</v>
      </c>
      <c r="G448" s="2" t="b">
        <f t="shared" si="11"/>
        <v>0</v>
      </c>
      <c r="H448" s="2" t="str">
        <f t="shared" si="12"/>
        <v>Parse Error</v>
      </c>
    </row>
    <row r="449" spans="1:8" x14ac:dyDescent="0.2">
      <c r="A449" s="2" t="s">
        <v>30</v>
      </c>
      <c r="B449" s="2" t="s">
        <v>9</v>
      </c>
      <c r="C449" s="2">
        <v>51</v>
      </c>
      <c r="D449" s="2" t="s">
        <v>28</v>
      </c>
      <c r="E449" s="2" t="s">
        <v>96</v>
      </c>
      <c r="F449" s="2" t="str">
        <f t="shared" si="13"/>
        <v>Group2</v>
      </c>
      <c r="G449" s="2" t="b">
        <f t="shared" si="11"/>
        <v>0</v>
      </c>
      <c r="H449" s="2" t="str">
        <f t="shared" si="12"/>
        <v>Parse Error</v>
      </c>
    </row>
    <row r="450" spans="1:8" x14ac:dyDescent="0.2">
      <c r="A450" s="2" t="s">
        <v>30</v>
      </c>
      <c r="B450" s="2" t="s">
        <v>9</v>
      </c>
      <c r="C450" s="2">
        <v>52</v>
      </c>
      <c r="D450" s="2" t="s">
        <v>28</v>
      </c>
      <c r="E450" s="2" t="s">
        <v>96</v>
      </c>
      <c r="F450" s="2" t="str">
        <f t="shared" si="13"/>
        <v>Group2</v>
      </c>
      <c r="G450" s="2" t="b">
        <f t="shared" si="11"/>
        <v>0</v>
      </c>
      <c r="H450" s="2" t="str">
        <f t="shared" si="12"/>
        <v>Parse Error</v>
      </c>
    </row>
    <row r="451" spans="1:8" x14ac:dyDescent="0.2">
      <c r="A451" s="2" t="s">
        <v>30</v>
      </c>
      <c r="B451" s="2" t="s">
        <v>9</v>
      </c>
      <c r="C451" s="2">
        <v>61</v>
      </c>
      <c r="D451" s="2" t="s">
        <v>28</v>
      </c>
      <c r="E451" s="2" t="s">
        <v>96</v>
      </c>
      <c r="F451" s="2" t="str">
        <f t="shared" si="13"/>
        <v>Group1</v>
      </c>
      <c r="G451" s="2" t="b">
        <f t="shared" si="11"/>
        <v>1</v>
      </c>
      <c r="H451" s="2" t="str">
        <f t="shared" si="12"/>
        <v>Parse Error</v>
      </c>
    </row>
    <row r="452" spans="1:8" x14ac:dyDescent="0.2">
      <c r="A452" s="2" t="s">
        <v>30</v>
      </c>
      <c r="B452" s="2" t="s">
        <v>9</v>
      </c>
      <c r="C452" s="2">
        <v>62</v>
      </c>
      <c r="D452" s="2" t="s">
        <v>28</v>
      </c>
      <c r="E452" s="2" t="s">
        <v>96</v>
      </c>
      <c r="F452" s="2" t="str">
        <f t="shared" si="13"/>
        <v>Group2</v>
      </c>
      <c r="G452" s="2" t="b">
        <f t="shared" si="11"/>
        <v>0</v>
      </c>
      <c r="H452" s="2" t="str">
        <f t="shared" si="12"/>
        <v>Parse Error</v>
      </c>
    </row>
    <row r="453" spans="1:8" x14ac:dyDescent="0.2">
      <c r="A453" s="2" t="s">
        <v>30</v>
      </c>
      <c r="B453" s="2" t="s">
        <v>9</v>
      </c>
      <c r="C453" s="2">
        <v>63</v>
      </c>
      <c r="D453" s="2" t="s">
        <v>28</v>
      </c>
      <c r="E453" s="2" t="s">
        <v>96</v>
      </c>
      <c r="F453" s="2" t="str">
        <f t="shared" si="13"/>
        <v>Group2</v>
      </c>
      <c r="G453" s="2" t="b">
        <f t="shared" si="11"/>
        <v>0</v>
      </c>
      <c r="H453" s="2" t="str">
        <f t="shared" si="12"/>
        <v>Parse Error</v>
      </c>
    </row>
    <row r="454" spans="1:8" x14ac:dyDescent="0.2">
      <c r="A454" s="2" t="s">
        <v>30</v>
      </c>
      <c r="B454" s="2" t="s">
        <v>9</v>
      </c>
      <c r="C454" s="2">
        <v>64</v>
      </c>
      <c r="D454" s="2" t="s">
        <v>28</v>
      </c>
      <c r="E454" s="2" t="s">
        <v>96</v>
      </c>
      <c r="F454" s="2" t="str">
        <f t="shared" si="13"/>
        <v>Group1</v>
      </c>
      <c r="G454" s="2" t="b">
        <f t="shared" si="11"/>
        <v>1</v>
      </c>
      <c r="H454" s="2" t="str">
        <f t="shared" si="12"/>
        <v>Parse Error</v>
      </c>
    </row>
    <row r="455" spans="1:8" x14ac:dyDescent="0.2">
      <c r="A455" s="2" t="s">
        <v>30</v>
      </c>
      <c r="B455" s="2" t="s">
        <v>9</v>
      </c>
      <c r="C455" s="2">
        <v>65</v>
      </c>
      <c r="D455" s="2" t="s">
        <v>28</v>
      </c>
      <c r="E455" s="2" t="s">
        <v>96</v>
      </c>
      <c r="F455" s="2" t="str">
        <f t="shared" si="13"/>
        <v>Group2</v>
      </c>
      <c r="G455" s="2" t="b">
        <f t="shared" si="11"/>
        <v>0</v>
      </c>
      <c r="H455" s="2" t="str">
        <f t="shared" si="12"/>
        <v>Parse Error</v>
      </c>
    </row>
    <row r="456" spans="1:8" x14ac:dyDescent="0.2">
      <c r="A456" s="2" t="s">
        <v>30</v>
      </c>
      <c r="B456" s="2" t="s">
        <v>9</v>
      </c>
      <c r="C456" s="2">
        <v>66</v>
      </c>
      <c r="D456" s="2" t="s">
        <v>28</v>
      </c>
      <c r="E456" s="2" t="s">
        <v>96</v>
      </c>
      <c r="F456" s="2" t="str">
        <f t="shared" si="13"/>
        <v>Group1</v>
      </c>
      <c r="G456" s="2" t="b">
        <f t="shared" si="11"/>
        <v>1</v>
      </c>
      <c r="H456" s="2" t="str">
        <f t="shared" si="12"/>
        <v>Parse Error</v>
      </c>
    </row>
    <row r="457" spans="1:8" x14ac:dyDescent="0.2">
      <c r="A457" s="2" t="s">
        <v>30</v>
      </c>
      <c r="B457" s="2" t="s">
        <v>9</v>
      </c>
      <c r="C457" s="2">
        <v>67</v>
      </c>
      <c r="D457" s="2" t="s">
        <v>28</v>
      </c>
      <c r="E457" s="2" t="s">
        <v>96</v>
      </c>
      <c r="F457" s="2" t="str">
        <f t="shared" si="13"/>
        <v>Group2</v>
      </c>
      <c r="G457" s="2" t="b">
        <f t="shared" si="11"/>
        <v>0</v>
      </c>
      <c r="H457" s="2" t="str">
        <f t="shared" si="12"/>
        <v>Parse Error</v>
      </c>
    </row>
    <row r="458" spans="1:8" x14ac:dyDescent="0.2">
      <c r="A458" s="2" t="s">
        <v>30</v>
      </c>
      <c r="B458" s="2" t="s">
        <v>9</v>
      </c>
      <c r="C458" s="2">
        <v>68</v>
      </c>
      <c r="D458" s="2" t="s">
        <v>28</v>
      </c>
      <c r="E458" s="2" t="s">
        <v>96</v>
      </c>
      <c r="F458" s="2" t="str">
        <f t="shared" si="13"/>
        <v>Group1</v>
      </c>
      <c r="G458" s="2" t="b">
        <f t="shared" si="11"/>
        <v>1</v>
      </c>
      <c r="H458" s="2" t="str">
        <f t="shared" si="12"/>
        <v>Parse Error</v>
      </c>
    </row>
    <row r="459" spans="1:8" x14ac:dyDescent="0.2">
      <c r="A459" s="2" t="s">
        <v>8</v>
      </c>
      <c r="B459" s="2" t="s">
        <v>31</v>
      </c>
      <c r="C459" s="2">
        <v>1</v>
      </c>
      <c r="D459" s="2" t="s">
        <v>94</v>
      </c>
      <c r="E459" s="2" t="s">
        <v>94</v>
      </c>
      <c r="F459" s="2" t="str">
        <f t="shared" si="13"/>
        <v>Group1</v>
      </c>
      <c r="G459" s="2" t="b">
        <f t="shared" si="11"/>
        <v>0</v>
      </c>
      <c r="H459" s="2" t="str">
        <f t="shared" si="12"/>
        <v>No Conflict (Correct)</v>
      </c>
    </row>
    <row r="460" spans="1:8" x14ac:dyDescent="0.2">
      <c r="A460" s="2" t="s">
        <v>8</v>
      </c>
      <c r="B460" s="2" t="s">
        <v>31</v>
      </c>
      <c r="C460" s="2">
        <v>11</v>
      </c>
      <c r="D460" s="2" t="s">
        <v>94</v>
      </c>
      <c r="E460" s="2" t="s">
        <v>94</v>
      </c>
      <c r="F460" s="2" t="str">
        <f t="shared" si="13"/>
        <v>Group1</v>
      </c>
      <c r="G460" s="2" t="b">
        <f t="shared" si="11"/>
        <v>0</v>
      </c>
      <c r="H460" s="2" t="str">
        <f t="shared" si="12"/>
        <v>No Conflict (Correct)</v>
      </c>
    </row>
    <row r="461" spans="1:8" x14ac:dyDescent="0.2">
      <c r="A461" s="2" t="s">
        <v>8</v>
      </c>
      <c r="B461" s="2" t="s">
        <v>31</v>
      </c>
      <c r="C461" s="2">
        <v>12</v>
      </c>
      <c r="D461" s="2" t="s">
        <v>94</v>
      </c>
      <c r="E461" s="2" t="s">
        <v>94</v>
      </c>
      <c r="F461" s="2" t="str">
        <f t="shared" si="13"/>
        <v>Group2</v>
      </c>
      <c r="G461" s="2" t="b">
        <f t="shared" si="11"/>
        <v>1</v>
      </c>
      <c r="H461" s="2" t="str">
        <f t="shared" si="12"/>
        <v>Guideline-compliant</v>
      </c>
    </row>
    <row r="462" spans="1:8" x14ac:dyDescent="0.2">
      <c r="A462" s="2" t="s">
        <v>8</v>
      </c>
      <c r="B462" s="2" t="s">
        <v>31</v>
      </c>
      <c r="C462" s="2">
        <v>13</v>
      </c>
      <c r="D462" s="2" t="s">
        <v>94</v>
      </c>
      <c r="E462" s="2" t="s">
        <v>94</v>
      </c>
      <c r="F462" s="2" t="str">
        <f t="shared" si="13"/>
        <v>Group1</v>
      </c>
      <c r="G462" s="2" t="b">
        <f t="shared" si="11"/>
        <v>0</v>
      </c>
      <c r="H462" s="2" t="str">
        <f t="shared" si="12"/>
        <v>No Conflict (Correct)</v>
      </c>
    </row>
    <row r="463" spans="1:8" x14ac:dyDescent="0.2">
      <c r="A463" s="2" t="s">
        <v>8</v>
      </c>
      <c r="B463" s="2" t="s">
        <v>31</v>
      </c>
      <c r="C463" s="2">
        <v>14</v>
      </c>
      <c r="D463" s="2" t="s">
        <v>94</v>
      </c>
      <c r="E463" s="2" t="s">
        <v>94</v>
      </c>
      <c r="F463" s="2" t="str">
        <f t="shared" si="13"/>
        <v>Group2</v>
      </c>
      <c r="G463" s="2" t="b">
        <f t="shared" si="11"/>
        <v>1</v>
      </c>
      <c r="H463" s="2" t="str">
        <f t="shared" si="12"/>
        <v>Guideline-compliant</v>
      </c>
    </row>
    <row r="464" spans="1:8" x14ac:dyDescent="0.2">
      <c r="A464" s="2" t="s">
        <v>8</v>
      </c>
      <c r="B464" s="2" t="s">
        <v>31</v>
      </c>
      <c r="C464" s="2">
        <v>15</v>
      </c>
      <c r="D464" s="2" t="s">
        <v>94</v>
      </c>
      <c r="E464" s="2" t="s">
        <v>94</v>
      </c>
      <c r="F464" s="2" t="str">
        <f t="shared" si="13"/>
        <v>Group1</v>
      </c>
      <c r="G464" s="2" t="b">
        <f t="shared" si="11"/>
        <v>0</v>
      </c>
      <c r="H464" s="2" t="str">
        <f t="shared" si="12"/>
        <v>No Conflict (Correct)</v>
      </c>
    </row>
    <row r="465" spans="1:8" x14ac:dyDescent="0.2">
      <c r="A465" s="2" t="s">
        <v>8</v>
      </c>
      <c r="B465" s="2" t="s">
        <v>31</v>
      </c>
      <c r="C465" s="2">
        <v>16</v>
      </c>
      <c r="D465" s="2" t="s">
        <v>94</v>
      </c>
      <c r="E465" s="2" t="s">
        <v>94</v>
      </c>
      <c r="F465" s="2" t="str">
        <f t="shared" si="13"/>
        <v>Group2</v>
      </c>
      <c r="G465" s="2" t="b">
        <f t="shared" si="11"/>
        <v>1</v>
      </c>
      <c r="H465" s="2" t="str">
        <f t="shared" si="12"/>
        <v>Guideline-compliant</v>
      </c>
    </row>
    <row r="466" spans="1:8" x14ac:dyDescent="0.2">
      <c r="A466" s="2" t="s">
        <v>8</v>
      </c>
      <c r="B466" s="2" t="s">
        <v>31</v>
      </c>
      <c r="C466" s="2">
        <v>17</v>
      </c>
      <c r="D466" s="2" t="s">
        <v>94</v>
      </c>
      <c r="E466" s="2" t="s">
        <v>94</v>
      </c>
      <c r="F466" s="2" t="str">
        <f t="shared" si="13"/>
        <v>Group1</v>
      </c>
      <c r="G466" s="2" t="b">
        <f t="shared" si="11"/>
        <v>0</v>
      </c>
      <c r="H466" s="2" t="str">
        <f t="shared" si="12"/>
        <v>No Conflict (Correct)</v>
      </c>
    </row>
    <row r="467" spans="1:8" x14ac:dyDescent="0.2">
      <c r="A467" s="2" t="s">
        <v>8</v>
      </c>
      <c r="B467" s="2" t="s">
        <v>31</v>
      </c>
      <c r="C467" s="2">
        <v>18</v>
      </c>
      <c r="D467" s="2" t="s">
        <v>94</v>
      </c>
      <c r="E467" s="2" t="s">
        <v>94</v>
      </c>
      <c r="F467" s="2" t="str">
        <f t="shared" si="13"/>
        <v>Group2</v>
      </c>
      <c r="G467" s="2" t="b">
        <f t="shared" si="11"/>
        <v>1</v>
      </c>
      <c r="H467" s="2" t="str">
        <f t="shared" si="12"/>
        <v>Guideline-compliant</v>
      </c>
    </row>
    <row r="468" spans="1:8" x14ac:dyDescent="0.2">
      <c r="A468" s="2" t="s">
        <v>8</v>
      </c>
      <c r="B468" s="2" t="s">
        <v>31</v>
      </c>
      <c r="C468" s="2">
        <v>19</v>
      </c>
      <c r="D468" s="2" t="s">
        <v>94</v>
      </c>
      <c r="E468" s="2" t="s">
        <v>94</v>
      </c>
      <c r="F468" s="2" t="str">
        <f t="shared" si="13"/>
        <v>Group1</v>
      </c>
      <c r="G468" s="2" t="b">
        <f t="shared" si="11"/>
        <v>0</v>
      </c>
      <c r="H468" s="2" t="str">
        <f t="shared" si="12"/>
        <v>No Conflict (Correct)</v>
      </c>
    </row>
    <row r="469" spans="1:8" x14ac:dyDescent="0.2">
      <c r="A469" s="2" t="s">
        <v>8</v>
      </c>
      <c r="B469" s="2" t="s">
        <v>31</v>
      </c>
      <c r="C469" s="2">
        <v>20</v>
      </c>
      <c r="D469" s="2" t="s">
        <v>94</v>
      </c>
      <c r="E469" s="2" t="s">
        <v>94</v>
      </c>
      <c r="F469" s="2" t="str">
        <f t="shared" si="13"/>
        <v>Group2</v>
      </c>
      <c r="G469" s="2" t="b">
        <f t="shared" si="11"/>
        <v>1</v>
      </c>
      <c r="H469" s="2" t="str">
        <f t="shared" si="12"/>
        <v>Guideline-compliant</v>
      </c>
    </row>
    <row r="470" spans="1:8" x14ac:dyDescent="0.2">
      <c r="A470" s="2" t="s">
        <v>8</v>
      </c>
      <c r="B470" s="2" t="s">
        <v>31</v>
      </c>
      <c r="C470" s="2">
        <v>21</v>
      </c>
      <c r="D470" s="2" t="s">
        <v>96</v>
      </c>
      <c r="E470" s="2" t="s">
        <v>96</v>
      </c>
      <c r="F470" s="2" t="str">
        <f t="shared" si="13"/>
        <v>Group2</v>
      </c>
      <c r="G470" s="2" t="b">
        <f t="shared" si="11"/>
        <v>0</v>
      </c>
      <c r="H470" s="2" t="str">
        <f t="shared" si="12"/>
        <v>No Conflict (Correct)</v>
      </c>
    </row>
    <row r="471" spans="1:8" x14ac:dyDescent="0.2">
      <c r="A471" s="2" t="s">
        <v>8</v>
      </c>
      <c r="B471" s="2" t="s">
        <v>31</v>
      </c>
      <c r="C471" s="2">
        <v>22</v>
      </c>
      <c r="D471" s="2" t="s">
        <v>94</v>
      </c>
      <c r="E471" s="2" t="s">
        <v>94</v>
      </c>
      <c r="F471" s="2" t="str">
        <f t="shared" si="13"/>
        <v>Group1</v>
      </c>
      <c r="G471" s="2" t="b">
        <f t="shared" si="11"/>
        <v>0</v>
      </c>
      <c r="H471" s="2" t="str">
        <f t="shared" si="12"/>
        <v>No Conflict (Correct)</v>
      </c>
    </row>
    <row r="472" spans="1:8" x14ac:dyDescent="0.2">
      <c r="A472" s="2" t="s">
        <v>8</v>
      </c>
      <c r="B472" s="2" t="s">
        <v>31</v>
      </c>
      <c r="C472" s="2">
        <v>31</v>
      </c>
      <c r="D472" s="2" t="s">
        <v>94</v>
      </c>
      <c r="E472" s="2" t="s">
        <v>94</v>
      </c>
      <c r="F472" s="2" t="str">
        <f t="shared" si="13"/>
        <v>Group2</v>
      </c>
      <c r="G472" s="2" t="b">
        <f t="shared" si="11"/>
        <v>1</v>
      </c>
      <c r="H472" s="2" t="str">
        <f t="shared" si="12"/>
        <v>Guideline-compliant</v>
      </c>
    </row>
    <row r="473" spans="1:8" x14ac:dyDescent="0.2">
      <c r="A473" s="2" t="s">
        <v>8</v>
      </c>
      <c r="B473" s="2" t="s">
        <v>31</v>
      </c>
      <c r="C473" s="2">
        <v>32</v>
      </c>
      <c r="D473" s="2" t="s">
        <v>94</v>
      </c>
      <c r="E473" s="2" t="s">
        <v>94</v>
      </c>
      <c r="F473" s="2" t="str">
        <f t="shared" si="13"/>
        <v>Group3</v>
      </c>
      <c r="G473" s="2" t="b">
        <f t="shared" si="11"/>
        <v>1</v>
      </c>
      <c r="H473" s="2" t="str">
        <f t="shared" si="12"/>
        <v>Guideline-compliant</v>
      </c>
    </row>
    <row r="474" spans="1:8" x14ac:dyDescent="0.2">
      <c r="A474" s="2" t="s">
        <v>8</v>
      </c>
      <c r="B474" s="2" t="s">
        <v>31</v>
      </c>
      <c r="C474" s="2">
        <v>41</v>
      </c>
      <c r="D474" s="2" t="s">
        <v>96</v>
      </c>
      <c r="E474" s="2" t="s">
        <v>96</v>
      </c>
      <c r="F474" s="2" t="str">
        <f t="shared" si="13"/>
        <v>Group3</v>
      </c>
      <c r="G474" s="2" t="b">
        <f t="shared" si="11"/>
        <v>1</v>
      </c>
      <c r="H474" s="2" t="str">
        <f t="shared" si="12"/>
        <v>Guideline-compliant</v>
      </c>
    </row>
    <row r="475" spans="1:8" x14ac:dyDescent="0.2">
      <c r="A475" s="2" t="s">
        <v>8</v>
      </c>
      <c r="B475" s="2" t="s">
        <v>31</v>
      </c>
      <c r="C475" s="2">
        <v>42</v>
      </c>
      <c r="D475" s="2" t="s">
        <v>110</v>
      </c>
      <c r="E475" s="2" t="s">
        <v>110</v>
      </c>
      <c r="F475" s="2" t="str">
        <f t="shared" si="13"/>
        <v>Group3</v>
      </c>
      <c r="G475" s="2" t="b">
        <f t="shared" si="11"/>
        <v>0</v>
      </c>
      <c r="H475" s="2" t="str">
        <f t="shared" si="12"/>
        <v>No Conflict (Correct)</v>
      </c>
    </row>
    <row r="476" spans="1:8" x14ac:dyDescent="0.2">
      <c r="A476" s="2" t="s">
        <v>8</v>
      </c>
      <c r="B476" s="2" t="s">
        <v>31</v>
      </c>
      <c r="C476" s="2">
        <v>51</v>
      </c>
      <c r="D476" s="2" t="s">
        <v>94</v>
      </c>
      <c r="E476" s="2" t="s">
        <v>94</v>
      </c>
      <c r="F476" s="2" t="str">
        <f t="shared" si="13"/>
        <v>Group2</v>
      </c>
      <c r="G476" s="2" t="b">
        <f t="shared" si="11"/>
        <v>1</v>
      </c>
      <c r="H476" s="2" t="str">
        <f t="shared" si="12"/>
        <v>Guideline-compliant</v>
      </c>
    </row>
    <row r="477" spans="1:8" x14ac:dyDescent="0.2">
      <c r="A477" s="2" t="s">
        <v>8</v>
      </c>
      <c r="B477" s="2" t="s">
        <v>31</v>
      </c>
      <c r="C477" s="2">
        <v>52</v>
      </c>
      <c r="D477" s="2" t="s">
        <v>110</v>
      </c>
      <c r="E477" s="2" t="s">
        <v>94</v>
      </c>
      <c r="F477" s="2" t="str">
        <f t="shared" si="13"/>
        <v>Group2</v>
      </c>
      <c r="G477" s="2" t="b">
        <f t="shared" si="11"/>
        <v>1</v>
      </c>
      <c r="H477" s="2" t="str">
        <f t="shared" si="12"/>
        <v>Neither</v>
      </c>
    </row>
    <row r="478" spans="1:8" x14ac:dyDescent="0.2">
      <c r="A478" s="2" t="s">
        <v>8</v>
      </c>
      <c r="B478" s="2" t="s">
        <v>31</v>
      </c>
      <c r="C478" s="2">
        <v>61</v>
      </c>
      <c r="D478" s="2" t="s">
        <v>94</v>
      </c>
      <c r="E478" s="2" t="s">
        <v>94</v>
      </c>
      <c r="F478" s="2" t="str">
        <f t="shared" si="13"/>
        <v>Group1</v>
      </c>
      <c r="G478" s="2" t="b">
        <f t="shared" si="11"/>
        <v>0</v>
      </c>
      <c r="H478" s="2" t="str">
        <f t="shared" si="12"/>
        <v>No Conflict (Correct)</v>
      </c>
    </row>
    <row r="479" spans="1:8" x14ac:dyDescent="0.2">
      <c r="A479" s="2" t="s">
        <v>8</v>
      </c>
      <c r="B479" s="2" t="s">
        <v>31</v>
      </c>
      <c r="C479" s="2">
        <v>62</v>
      </c>
      <c r="D479" s="2" t="s">
        <v>94</v>
      </c>
      <c r="E479" s="2" t="s">
        <v>94</v>
      </c>
      <c r="F479" s="2" t="str">
        <f t="shared" si="13"/>
        <v>Group2</v>
      </c>
      <c r="G479" s="2" t="b">
        <f t="shared" ref="G479:G542" si="14">IF(F479="N/A",FALSE(),E479&lt;&gt;F479)</f>
        <v>1</v>
      </c>
      <c r="H479" s="2" t="str">
        <f t="shared" ref="H479:H542" si="15">IF(D479="PARSE_ERROR","Parse Error",IF(NOT(G479),IF(D479=E479,"No Conflict (Correct)","No Conflict (Incorrect)"),IF(D479=E479,"Guideline-compliant",IF(D479=F479,"Knowledge-override","Neither"))))</f>
        <v>Guideline-compliant</v>
      </c>
    </row>
    <row r="480" spans="1:8" x14ac:dyDescent="0.2">
      <c r="A480" s="2" t="s">
        <v>8</v>
      </c>
      <c r="B480" s="2" t="s">
        <v>31</v>
      </c>
      <c r="C480" s="2">
        <v>63</v>
      </c>
      <c r="D480" s="2" t="s">
        <v>94</v>
      </c>
      <c r="E480" s="2" t="s">
        <v>94</v>
      </c>
      <c r="F480" s="2" t="str">
        <f t="shared" ref="F480:F543" si="16">IFERROR(INDEX($K$351:$K$377,MATCH(C480,$J$351:$J$377,0)),"N/A")</f>
        <v>Group2</v>
      </c>
      <c r="G480" s="2" t="b">
        <f t="shared" si="14"/>
        <v>1</v>
      </c>
      <c r="H480" s="2" t="str">
        <f t="shared" si="15"/>
        <v>Guideline-compliant</v>
      </c>
    </row>
    <row r="481" spans="1:8" x14ac:dyDescent="0.2">
      <c r="A481" s="2" t="s">
        <v>8</v>
      </c>
      <c r="B481" s="2" t="s">
        <v>31</v>
      </c>
      <c r="C481" s="2">
        <v>64</v>
      </c>
      <c r="D481" s="2" t="s">
        <v>94</v>
      </c>
      <c r="E481" s="2" t="s">
        <v>94</v>
      </c>
      <c r="F481" s="2" t="str">
        <f t="shared" si="16"/>
        <v>Group1</v>
      </c>
      <c r="G481" s="2" t="b">
        <f t="shared" si="14"/>
        <v>0</v>
      </c>
      <c r="H481" s="2" t="str">
        <f t="shared" si="15"/>
        <v>No Conflict (Correct)</v>
      </c>
    </row>
    <row r="482" spans="1:8" x14ac:dyDescent="0.2">
      <c r="A482" s="2" t="s">
        <v>8</v>
      </c>
      <c r="B482" s="2" t="s">
        <v>31</v>
      </c>
      <c r="C482" s="2">
        <v>65</v>
      </c>
      <c r="D482" s="2" t="s">
        <v>94</v>
      </c>
      <c r="E482" s="2" t="s">
        <v>94</v>
      </c>
      <c r="F482" s="2" t="str">
        <f t="shared" si="16"/>
        <v>Group2</v>
      </c>
      <c r="G482" s="2" t="b">
        <f t="shared" si="14"/>
        <v>1</v>
      </c>
      <c r="H482" s="2" t="str">
        <f t="shared" si="15"/>
        <v>Guideline-compliant</v>
      </c>
    </row>
    <row r="483" spans="1:8" x14ac:dyDescent="0.2">
      <c r="A483" s="2" t="s">
        <v>8</v>
      </c>
      <c r="B483" s="2" t="s">
        <v>31</v>
      </c>
      <c r="C483" s="2">
        <v>66</v>
      </c>
      <c r="D483" s="2" t="s">
        <v>94</v>
      </c>
      <c r="E483" s="2" t="s">
        <v>94</v>
      </c>
      <c r="F483" s="2" t="str">
        <f t="shared" si="16"/>
        <v>Group1</v>
      </c>
      <c r="G483" s="2" t="b">
        <f t="shared" si="14"/>
        <v>0</v>
      </c>
      <c r="H483" s="2" t="str">
        <f t="shared" si="15"/>
        <v>No Conflict (Correct)</v>
      </c>
    </row>
    <row r="484" spans="1:8" x14ac:dyDescent="0.2">
      <c r="A484" s="2" t="s">
        <v>8</v>
      </c>
      <c r="B484" s="2" t="s">
        <v>31</v>
      </c>
      <c r="C484" s="2">
        <v>67</v>
      </c>
      <c r="D484" s="2" t="s">
        <v>94</v>
      </c>
      <c r="E484" s="2" t="s">
        <v>94</v>
      </c>
      <c r="F484" s="2" t="str">
        <f t="shared" si="16"/>
        <v>Group2</v>
      </c>
      <c r="G484" s="2" t="b">
        <f t="shared" si="14"/>
        <v>1</v>
      </c>
      <c r="H484" s="2" t="str">
        <f t="shared" si="15"/>
        <v>Guideline-compliant</v>
      </c>
    </row>
    <row r="485" spans="1:8" x14ac:dyDescent="0.2">
      <c r="A485" s="2" t="s">
        <v>8</v>
      </c>
      <c r="B485" s="2" t="s">
        <v>31</v>
      </c>
      <c r="C485" s="2">
        <v>68</v>
      </c>
      <c r="D485" s="2" t="s">
        <v>94</v>
      </c>
      <c r="E485" s="2" t="s">
        <v>94</v>
      </c>
      <c r="F485" s="2" t="str">
        <f t="shared" si="16"/>
        <v>Group1</v>
      </c>
      <c r="G485" s="2" t="b">
        <f t="shared" si="14"/>
        <v>0</v>
      </c>
      <c r="H485" s="2" t="str">
        <f t="shared" si="15"/>
        <v>No Conflict (Correct)</v>
      </c>
    </row>
    <row r="486" spans="1:8" x14ac:dyDescent="0.2">
      <c r="A486" s="2" t="s">
        <v>27</v>
      </c>
      <c r="B486" s="2" t="s">
        <v>31</v>
      </c>
      <c r="C486" s="2">
        <v>1</v>
      </c>
      <c r="D486" s="2" t="s">
        <v>28</v>
      </c>
      <c r="E486" s="2" t="s">
        <v>94</v>
      </c>
      <c r="F486" s="2" t="str">
        <f t="shared" si="16"/>
        <v>Group1</v>
      </c>
      <c r="G486" s="2" t="b">
        <f t="shared" si="14"/>
        <v>0</v>
      </c>
      <c r="H486" s="2" t="str">
        <f t="shared" si="15"/>
        <v>Parse Error</v>
      </c>
    </row>
    <row r="487" spans="1:8" x14ac:dyDescent="0.2">
      <c r="A487" s="2" t="s">
        <v>27</v>
      </c>
      <c r="B487" s="2" t="s">
        <v>31</v>
      </c>
      <c r="C487" s="2">
        <v>11</v>
      </c>
      <c r="D487" s="2" t="s">
        <v>28</v>
      </c>
      <c r="E487" s="2" t="s">
        <v>94</v>
      </c>
      <c r="F487" s="2" t="str">
        <f t="shared" si="16"/>
        <v>Group1</v>
      </c>
      <c r="G487" s="2" t="b">
        <f t="shared" si="14"/>
        <v>0</v>
      </c>
      <c r="H487" s="2" t="str">
        <f t="shared" si="15"/>
        <v>Parse Error</v>
      </c>
    </row>
    <row r="488" spans="1:8" x14ac:dyDescent="0.2">
      <c r="A488" s="2" t="s">
        <v>27</v>
      </c>
      <c r="B488" s="2" t="s">
        <v>31</v>
      </c>
      <c r="C488" s="2">
        <v>12</v>
      </c>
      <c r="D488" s="2" t="s">
        <v>28</v>
      </c>
      <c r="E488" s="2" t="s">
        <v>94</v>
      </c>
      <c r="F488" s="2" t="str">
        <f t="shared" si="16"/>
        <v>Group2</v>
      </c>
      <c r="G488" s="2" t="b">
        <f t="shared" si="14"/>
        <v>1</v>
      </c>
      <c r="H488" s="2" t="str">
        <f t="shared" si="15"/>
        <v>Parse Error</v>
      </c>
    </row>
    <row r="489" spans="1:8" x14ac:dyDescent="0.2">
      <c r="A489" s="2" t="s">
        <v>27</v>
      </c>
      <c r="B489" s="2" t="s">
        <v>31</v>
      </c>
      <c r="C489" s="2">
        <v>13</v>
      </c>
      <c r="D489" s="2" t="s">
        <v>28</v>
      </c>
      <c r="E489" s="2" t="s">
        <v>94</v>
      </c>
      <c r="F489" s="2" t="str">
        <f t="shared" si="16"/>
        <v>Group1</v>
      </c>
      <c r="G489" s="2" t="b">
        <f t="shared" si="14"/>
        <v>0</v>
      </c>
      <c r="H489" s="2" t="str">
        <f t="shared" si="15"/>
        <v>Parse Error</v>
      </c>
    </row>
    <row r="490" spans="1:8" x14ac:dyDescent="0.2">
      <c r="A490" s="2" t="s">
        <v>27</v>
      </c>
      <c r="B490" s="2" t="s">
        <v>31</v>
      </c>
      <c r="C490" s="2">
        <v>14</v>
      </c>
      <c r="D490" s="2" t="s">
        <v>28</v>
      </c>
      <c r="E490" s="2" t="s">
        <v>94</v>
      </c>
      <c r="F490" s="2" t="str">
        <f t="shared" si="16"/>
        <v>Group2</v>
      </c>
      <c r="G490" s="2" t="b">
        <f t="shared" si="14"/>
        <v>1</v>
      </c>
      <c r="H490" s="2" t="str">
        <f t="shared" si="15"/>
        <v>Parse Error</v>
      </c>
    </row>
    <row r="491" spans="1:8" x14ac:dyDescent="0.2">
      <c r="A491" s="2" t="s">
        <v>27</v>
      </c>
      <c r="B491" s="2" t="s">
        <v>31</v>
      </c>
      <c r="C491" s="2">
        <v>15</v>
      </c>
      <c r="D491" s="2" t="s">
        <v>28</v>
      </c>
      <c r="E491" s="2" t="s">
        <v>94</v>
      </c>
      <c r="F491" s="2" t="str">
        <f t="shared" si="16"/>
        <v>Group1</v>
      </c>
      <c r="G491" s="2" t="b">
        <f t="shared" si="14"/>
        <v>0</v>
      </c>
      <c r="H491" s="2" t="str">
        <f t="shared" si="15"/>
        <v>Parse Error</v>
      </c>
    </row>
    <row r="492" spans="1:8" x14ac:dyDescent="0.2">
      <c r="A492" s="2" t="s">
        <v>27</v>
      </c>
      <c r="B492" s="2" t="s">
        <v>31</v>
      </c>
      <c r="C492" s="2">
        <v>16</v>
      </c>
      <c r="D492" s="2" t="s">
        <v>28</v>
      </c>
      <c r="E492" s="2" t="s">
        <v>94</v>
      </c>
      <c r="F492" s="2" t="str">
        <f t="shared" si="16"/>
        <v>Group2</v>
      </c>
      <c r="G492" s="2" t="b">
        <f t="shared" si="14"/>
        <v>1</v>
      </c>
      <c r="H492" s="2" t="str">
        <f t="shared" si="15"/>
        <v>Parse Error</v>
      </c>
    </row>
    <row r="493" spans="1:8" x14ac:dyDescent="0.2">
      <c r="A493" s="2" t="s">
        <v>27</v>
      </c>
      <c r="B493" s="2" t="s">
        <v>31</v>
      </c>
      <c r="C493" s="2">
        <v>17</v>
      </c>
      <c r="D493" s="2" t="s">
        <v>28</v>
      </c>
      <c r="E493" s="2" t="s">
        <v>94</v>
      </c>
      <c r="F493" s="2" t="str">
        <f t="shared" si="16"/>
        <v>Group1</v>
      </c>
      <c r="G493" s="2" t="b">
        <f t="shared" si="14"/>
        <v>0</v>
      </c>
      <c r="H493" s="2" t="str">
        <f t="shared" si="15"/>
        <v>Parse Error</v>
      </c>
    </row>
    <row r="494" spans="1:8" x14ac:dyDescent="0.2">
      <c r="A494" s="2" t="s">
        <v>27</v>
      </c>
      <c r="B494" s="2" t="s">
        <v>31</v>
      </c>
      <c r="C494" s="2">
        <v>18</v>
      </c>
      <c r="D494" s="2" t="s">
        <v>28</v>
      </c>
      <c r="E494" s="2" t="s">
        <v>94</v>
      </c>
      <c r="F494" s="2" t="str">
        <f t="shared" si="16"/>
        <v>Group2</v>
      </c>
      <c r="G494" s="2" t="b">
        <f t="shared" si="14"/>
        <v>1</v>
      </c>
      <c r="H494" s="2" t="str">
        <f t="shared" si="15"/>
        <v>Parse Error</v>
      </c>
    </row>
    <row r="495" spans="1:8" x14ac:dyDescent="0.2">
      <c r="A495" s="2" t="s">
        <v>27</v>
      </c>
      <c r="B495" s="2" t="s">
        <v>31</v>
      </c>
      <c r="C495" s="2">
        <v>19</v>
      </c>
      <c r="D495" s="2" t="s">
        <v>28</v>
      </c>
      <c r="E495" s="2" t="s">
        <v>94</v>
      </c>
      <c r="F495" s="2" t="str">
        <f t="shared" si="16"/>
        <v>Group1</v>
      </c>
      <c r="G495" s="2" t="b">
        <f t="shared" si="14"/>
        <v>0</v>
      </c>
      <c r="H495" s="2" t="str">
        <f t="shared" si="15"/>
        <v>Parse Error</v>
      </c>
    </row>
    <row r="496" spans="1:8" x14ac:dyDescent="0.2">
      <c r="A496" s="2" t="s">
        <v>27</v>
      </c>
      <c r="B496" s="2" t="s">
        <v>31</v>
      </c>
      <c r="C496" s="2">
        <v>20</v>
      </c>
      <c r="D496" s="2" t="s">
        <v>28</v>
      </c>
      <c r="E496" s="2" t="s">
        <v>94</v>
      </c>
      <c r="F496" s="2" t="str">
        <f t="shared" si="16"/>
        <v>Group2</v>
      </c>
      <c r="G496" s="2" t="b">
        <f t="shared" si="14"/>
        <v>1</v>
      </c>
      <c r="H496" s="2" t="str">
        <f t="shared" si="15"/>
        <v>Parse Error</v>
      </c>
    </row>
    <row r="497" spans="1:8" x14ac:dyDescent="0.2">
      <c r="A497" s="2" t="s">
        <v>27</v>
      </c>
      <c r="B497" s="2" t="s">
        <v>31</v>
      </c>
      <c r="C497" s="2">
        <v>21</v>
      </c>
      <c r="D497" s="2" t="s">
        <v>28</v>
      </c>
      <c r="E497" s="2" t="s">
        <v>96</v>
      </c>
      <c r="F497" s="2" t="str">
        <f t="shared" si="16"/>
        <v>Group2</v>
      </c>
      <c r="G497" s="2" t="b">
        <f t="shared" si="14"/>
        <v>0</v>
      </c>
      <c r="H497" s="2" t="str">
        <f t="shared" si="15"/>
        <v>Parse Error</v>
      </c>
    </row>
    <row r="498" spans="1:8" x14ac:dyDescent="0.2">
      <c r="A498" s="2" t="s">
        <v>27</v>
      </c>
      <c r="B498" s="2" t="s">
        <v>31</v>
      </c>
      <c r="C498" s="2">
        <v>22</v>
      </c>
      <c r="D498" s="2" t="s">
        <v>28</v>
      </c>
      <c r="E498" s="2" t="s">
        <v>94</v>
      </c>
      <c r="F498" s="2" t="str">
        <f t="shared" si="16"/>
        <v>Group1</v>
      </c>
      <c r="G498" s="2" t="b">
        <f t="shared" si="14"/>
        <v>0</v>
      </c>
      <c r="H498" s="2" t="str">
        <f t="shared" si="15"/>
        <v>Parse Error</v>
      </c>
    </row>
    <row r="499" spans="1:8" x14ac:dyDescent="0.2">
      <c r="A499" s="2" t="s">
        <v>27</v>
      </c>
      <c r="B499" s="2" t="s">
        <v>31</v>
      </c>
      <c r="C499" s="2">
        <v>31</v>
      </c>
      <c r="D499" s="2" t="s">
        <v>28</v>
      </c>
      <c r="E499" s="2" t="s">
        <v>94</v>
      </c>
      <c r="F499" s="2" t="str">
        <f t="shared" si="16"/>
        <v>Group2</v>
      </c>
      <c r="G499" s="2" t="b">
        <f t="shared" si="14"/>
        <v>1</v>
      </c>
      <c r="H499" s="2" t="str">
        <f t="shared" si="15"/>
        <v>Parse Error</v>
      </c>
    </row>
    <row r="500" spans="1:8" x14ac:dyDescent="0.2">
      <c r="A500" s="2" t="s">
        <v>27</v>
      </c>
      <c r="B500" s="2" t="s">
        <v>31</v>
      </c>
      <c r="C500" s="2">
        <v>32</v>
      </c>
      <c r="D500" s="2" t="s">
        <v>28</v>
      </c>
      <c r="E500" s="2" t="s">
        <v>94</v>
      </c>
      <c r="F500" s="2" t="str">
        <f t="shared" si="16"/>
        <v>Group3</v>
      </c>
      <c r="G500" s="2" t="b">
        <f t="shared" si="14"/>
        <v>1</v>
      </c>
      <c r="H500" s="2" t="str">
        <f t="shared" si="15"/>
        <v>Parse Error</v>
      </c>
    </row>
    <row r="501" spans="1:8" x14ac:dyDescent="0.2">
      <c r="A501" s="2" t="s">
        <v>27</v>
      </c>
      <c r="B501" s="2" t="s">
        <v>31</v>
      </c>
      <c r="C501" s="2">
        <v>41</v>
      </c>
      <c r="D501" s="2" t="s">
        <v>28</v>
      </c>
      <c r="E501" s="2" t="s">
        <v>96</v>
      </c>
      <c r="F501" s="2" t="str">
        <f t="shared" si="16"/>
        <v>Group3</v>
      </c>
      <c r="G501" s="2" t="b">
        <f t="shared" si="14"/>
        <v>1</v>
      </c>
      <c r="H501" s="2" t="str">
        <f t="shared" si="15"/>
        <v>Parse Error</v>
      </c>
    </row>
    <row r="502" spans="1:8" x14ac:dyDescent="0.2">
      <c r="A502" s="2" t="s">
        <v>27</v>
      </c>
      <c r="B502" s="2" t="s">
        <v>31</v>
      </c>
      <c r="C502" s="2">
        <v>42</v>
      </c>
      <c r="D502" s="2" t="s">
        <v>28</v>
      </c>
      <c r="E502" s="2" t="s">
        <v>110</v>
      </c>
      <c r="F502" s="2" t="str">
        <f t="shared" si="16"/>
        <v>Group3</v>
      </c>
      <c r="G502" s="2" t="b">
        <f t="shared" si="14"/>
        <v>0</v>
      </c>
      <c r="H502" s="2" t="str">
        <f t="shared" si="15"/>
        <v>Parse Error</v>
      </c>
    </row>
    <row r="503" spans="1:8" x14ac:dyDescent="0.2">
      <c r="A503" s="2" t="s">
        <v>27</v>
      </c>
      <c r="B503" s="2" t="s">
        <v>31</v>
      </c>
      <c r="C503" s="2">
        <v>51</v>
      </c>
      <c r="D503" s="2" t="s">
        <v>28</v>
      </c>
      <c r="E503" s="2" t="s">
        <v>94</v>
      </c>
      <c r="F503" s="2" t="str">
        <f t="shared" si="16"/>
        <v>Group2</v>
      </c>
      <c r="G503" s="2" t="b">
        <f t="shared" si="14"/>
        <v>1</v>
      </c>
      <c r="H503" s="2" t="str">
        <f t="shared" si="15"/>
        <v>Parse Error</v>
      </c>
    </row>
    <row r="504" spans="1:8" x14ac:dyDescent="0.2">
      <c r="A504" s="2" t="s">
        <v>27</v>
      </c>
      <c r="B504" s="2" t="s">
        <v>31</v>
      </c>
      <c r="C504" s="2">
        <v>52</v>
      </c>
      <c r="D504" s="2" t="s">
        <v>28</v>
      </c>
      <c r="E504" s="2" t="s">
        <v>94</v>
      </c>
      <c r="F504" s="2" t="str">
        <f t="shared" si="16"/>
        <v>Group2</v>
      </c>
      <c r="G504" s="2" t="b">
        <f t="shared" si="14"/>
        <v>1</v>
      </c>
      <c r="H504" s="2" t="str">
        <f t="shared" si="15"/>
        <v>Parse Error</v>
      </c>
    </row>
    <row r="505" spans="1:8" x14ac:dyDescent="0.2">
      <c r="A505" s="2" t="s">
        <v>27</v>
      </c>
      <c r="B505" s="2" t="s">
        <v>31</v>
      </c>
      <c r="C505" s="2">
        <v>61</v>
      </c>
      <c r="D505" s="2" t="s">
        <v>28</v>
      </c>
      <c r="E505" s="2" t="s">
        <v>94</v>
      </c>
      <c r="F505" s="2" t="str">
        <f t="shared" si="16"/>
        <v>Group1</v>
      </c>
      <c r="G505" s="2" t="b">
        <f t="shared" si="14"/>
        <v>0</v>
      </c>
      <c r="H505" s="2" t="str">
        <f t="shared" si="15"/>
        <v>Parse Error</v>
      </c>
    </row>
    <row r="506" spans="1:8" x14ac:dyDescent="0.2">
      <c r="A506" s="2" t="s">
        <v>27</v>
      </c>
      <c r="B506" s="2" t="s">
        <v>31</v>
      </c>
      <c r="C506" s="2">
        <v>62</v>
      </c>
      <c r="D506" s="2" t="s">
        <v>28</v>
      </c>
      <c r="E506" s="2" t="s">
        <v>94</v>
      </c>
      <c r="F506" s="2" t="str">
        <f t="shared" si="16"/>
        <v>Group2</v>
      </c>
      <c r="G506" s="2" t="b">
        <f t="shared" si="14"/>
        <v>1</v>
      </c>
      <c r="H506" s="2" t="str">
        <f t="shared" si="15"/>
        <v>Parse Error</v>
      </c>
    </row>
    <row r="507" spans="1:8" x14ac:dyDescent="0.2">
      <c r="A507" s="2" t="s">
        <v>27</v>
      </c>
      <c r="B507" s="2" t="s">
        <v>31</v>
      </c>
      <c r="C507" s="2">
        <v>63</v>
      </c>
      <c r="D507" s="2" t="s">
        <v>28</v>
      </c>
      <c r="E507" s="2" t="s">
        <v>94</v>
      </c>
      <c r="F507" s="2" t="str">
        <f t="shared" si="16"/>
        <v>Group2</v>
      </c>
      <c r="G507" s="2" t="b">
        <f t="shared" si="14"/>
        <v>1</v>
      </c>
      <c r="H507" s="2" t="str">
        <f t="shared" si="15"/>
        <v>Parse Error</v>
      </c>
    </row>
    <row r="508" spans="1:8" x14ac:dyDescent="0.2">
      <c r="A508" s="2" t="s">
        <v>27</v>
      </c>
      <c r="B508" s="2" t="s">
        <v>31</v>
      </c>
      <c r="C508" s="2">
        <v>64</v>
      </c>
      <c r="D508" s="2" t="s">
        <v>28</v>
      </c>
      <c r="E508" s="2" t="s">
        <v>94</v>
      </c>
      <c r="F508" s="2" t="str">
        <f t="shared" si="16"/>
        <v>Group1</v>
      </c>
      <c r="G508" s="2" t="b">
        <f t="shared" si="14"/>
        <v>0</v>
      </c>
      <c r="H508" s="2" t="str">
        <f t="shared" si="15"/>
        <v>Parse Error</v>
      </c>
    </row>
    <row r="509" spans="1:8" x14ac:dyDescent="0.2">
      <c r="A509" s="2" t="s">
        <v>27</v>
      </c>
      <c r="B509" s="2" t="s">
        <v>31</v>
      </c>
      <c r="C509" s="2">
        <v>65</v>
      </c>
      <c r="D509" s="2" t="s">
        <v>28</v>
      </c>
      <c r="E509" s="2" t="s">
        <v>94</v>
      </c>
      <c r="F509" s="2" t="str">
        <f t="shared" si="16"/>
        <v>Group2</v>
      </c>
      <c r="G509" s="2" t="b">
        <f t="shared" si="14"/>
        <v>1</v>
      </c>
      <c r="H509" s="2" t="str">
        <f t="shared" si="15"/>
        <v>Parse Error</v>
      </c>
    </row>
    <row r="510" spans="1:8" x14ac:dyDescent="0.2">
      <c r="A510" s="2" t="s">
        <v>27</v>
      </c>
      <c r="B510" s="2" t="s">
        <v>31</v>
      </c>
      <c r="C510" s="2">
        <v>66</v>
      </c>
      <c r="D510" s="2" t="s">
        <v>28</v>
      </c>
      <c r="E510" s="2" t="s">
        <v>94</v>
      </c>
      <c r="F510" s="2" t="str">
        <f t="shared" si="16"/>
        <v>Group1</v>
      </c>
      <c r="G510" s="2" t="b">
        <f t="shared" si="14"/>
        <v>0</v>
      </c>
      <c r="H510" s="2" t="str">
        <f t="shared" si="15"/>
        <v>Parse Error</v>
      </c>
    </row>
    <row r="511" spans="1:8" x14ac:dyDescent="0.2">
      <c r="A511" s="2" t="s">
        <v>27</v>
      </c>
      <c r="B511" s="2" t="s">
        <v>31</v>
      </c>
      <c r="C511" s="2">
        <v>67</v>
      </c>
      <c r="D511" s="2" t="s">
        <v>28</v>
      </c>
      <c r="E511" s="2" t="s">
        <v>94</v>
      </c>
      <c r="F511" s="2" t="str">
        <f t="shared" si="16"/>
        <v>Group2</v>
      </c>
      <c r="G511" s="2" t="b">
        <f t="shared" si="14"/>
        <v>1</v>
      </c>
      <c r="H511" s="2" t="str">
        <f t="shared" si="15"/>
        <v>Parse Error</v>
      </c>
    </row>
    <row r="512" spans="1:8" x14ac:dyDescent="0.2">
      <c r="A512" s="2" t="s">
        <v>27</v>
      </c>
      <c r="B512" s="2" t="s">
        <v>31</v>
      </c>
      <c r="C512" s="2">
        <v>68</v>
      </c>
      <c r="D512" s="2" t="s">
        <v>28</v>
      </c>
      <c r="E512" s="2" t="s">
        <v>94</v>
      </c>
      <c r="F512" s="2" t="str">
        <f t="shared" si="16"/>
        <v>Group1</v>
      </c>
      <c r="G512" s="2" t="b">
        <f t="shared" si="14"/>
        <v>0</v>
      </c>
      <c r="H512" s="2" t="str">
        <f t="shared" si="15"/>
        <v>Parse Error</v>
      </c>
    </row>
    <row r="513" spans="1:8" x14ac:dyDescent="0.2">
      <c r="A513" s="2" t="s">
        <v>29</v>
      </c>
      <c r="B513" s="2" t="s">
        <v>31</v>
      </c>
      <c r="C513" s="2">
        <v>1</v>
      </c>
      <c r="D513" s="2" t="s">
        <v>94</v>
      </c>
      <c r="E513" s="2" t="s">
        <v>94</v>
      </c>
      <c r="F513" s="2" t="str">
        <f t="shared" si="16"/>
        <v>Group1</v>
      </c>
      <c r="G513" s="2" t="b">
        <f t="shared" si="14"/>
        <v>0</v>
      </c>
      <c r="H513" s="2" t="str">
        <f t="shared" si="15"/>
        <v>No Conflict (Correct)</v>
      </c>
    </row>
    <row r="514" spans="1:8" x14ac:dyDescent="0.2">
      <c r="A514" s="2" t="s">
        <v>29</v>
      </c>
      <c r="B514" s="2" t="s">
        <v>31</v>
      </c>
      <c r="C514" s="2">
        <v>11</v>
      </c>
      <c r="D514" s="2" t="s">
        <v>94</v>
      </c>
      <c r="E514" s="2" t="s">
        <v>94</v>
      </c>
      <c r="F514" s="2" t="str">
        <f t="shared" si="16"/>
        <v>Group1</v>
      </c>
      <c r="G514" s="2" t="b">
        <f t="shared" si="14"/>
        <v>0</v>
      </c>
      <c r="H514" s="2" t="str">
        <f t="shared" si="15"/>
        <v>No Conflict (Correct)</v>
      </c>
    </row>
    <row r="515" spans="1:8" x14ac:dyDescent="0.2">
      <c r="A515" s="2" t="s">
        <v>29</v>
      </c>
      <c r="B515" s="2" t="s">
        <v>31</v>
      </c>
      <c r="C515" s="2">
        <v>12</v>
      </c>
      <c r="D515" s="2" t="s">
        <v>94</v>
      </c>
      <c r="E515" s="2" t="s">
        <v>94</v>
      </c>
      <c r="F515" s="2" t="str">
        <f t="shared" si="16"/>
        <v>Group2</v>
      </c>
      <c r="G515" s="2" t="b">
        <f t="shared" si="14"/>
        <v>1</v>
      </c>
      <c r="H515" s="2" t="str">
        <f t="shared" si="15"/>
        <v>Guideline-compliant</v>
      </c>
    </row>
    <row r="516" spans="1:8" x14ac:dyDescent="0.2">
      <c r="A516" s="2" t="s">
        <v>29</v>
      </c>
      <c r="B516" s="2" t="s">
        <v>31</v>
      </c>
      <c r="C516" s="2">
        <v>13</v>
      </c>
      <c r="D516" s="2" t="s">
        <v>94</v>
      </c>
      <c r="E516" s="2" t="s">
        <v>94</v>
      </c>
      <c r="F516" s="2" t="str">
        <f t="shared" si="16"/>
        <v>Group1</v>
      </c>
      <c r="G516" s="2" t="b">
        <f t="shared" si="14"/>
        <v>0</v>
      </c>
      <c r="H516" s="2" t="str">
        <f t="shared" si="15"/>
        <v>No Conflict (Correct)</v>
      </c>
    </row>
    <row r="517" spans="1:8" x14ac:dyDescent="0.2">
      <c r="A517" s="2" t="s">
        <v>29</v>
      </c>
      <c r="B517" s="2" t="s">
        <v>31</v>
      </c>
      <c r="C517" s="2">
        <v>14</v>
      </c>
      <c r="D517" s="2" t="s">
        <v>94</v>
      </c>
      <c r="E517" s="2" t="s">
        <v>94</v>
      </c>
      <c r="F517" s="2" t="str">
        <f t="shared" si="16"/>
        <v>Group2</v>
      </c>
      <c r="G517" s="2" t="b">
        <f t="shared" si="14"/>
        <v>1</v>
      </c>
      <c r="H517" s="2" t="str">
        <f t="shared" si="15"/>
        <v>Guideline-compliant</v>
      </c>
    </row>
    <row r="518" spans="1:8" x14ac:dyDescent="0.2">
      <c r="A518" s="2" t="s">
        <v>29</v>
      </c>
      <c r="B518" s="2" t="s">
        <v>31</v>
      </c>
      <c r="C518" s="2">
        <v>15</v>
      </c>
      <c r="D518" s="2" t="s">
        <v>94</v>
      </c>
      <c r="E518" s="2" t="s">
        <v>94</v>
      </c>
      <c r="F518" s="2" t="str">
        <f t="shared" si="16"/>
        <v>Group1</v>
      </c>
      <c r="G518" s="2" t="b">
        <f t="shared" si="14"/>
        <v>0</v>
      </c>
      <c r="H518" s="2" t="str">
        <f t="shared" si="15"/>
        <v>No Conflict (Correct)</v>
      </c>
    </row>
    <row r="519" spans="1:8" x14ac:dyDescent="0.2">
      <c r="A519" s="2" t="s">
        <v>29</v>
      </c>
      <c r="B519" s="2" t="s">
        <v>31</v>
      </c>
      <c r="C519" s="2">
        <v>16</v>
      </c>
      <c r="D519" s="2" t="s">
        <v>94</v>
      </c>
      <c r="E519" s="2" t="s">
        <v>94</v>
      </c>
      <c r="F519" s="2" t="str">
        <f t="shared" si="16"/>
        <v>Group2</v>
      </c>
      <c r="G519" s="2" t="b">
        <f t="shared" si="14"/>
        <v>1</v>
      </c>
      <c r="H519" s="2" t="str">
        <f t="shared" si="15"/>
        <v>Guideline-compliant</v>
      </c>
    </row>
    <row r="520" spans="1:8" x14ac:dyDescent="0.2">
      <c r="A520" s="2" t="s">
        <v>29</v>
      </c>
      <c r="B520" s="2" t="s">
        <v>31</v>
      </c>
      <c r="C520" s="2">
        <v>17</v>
      </c>
      <c r="D520" s="2" t="s">
        <v>94</v>
      </c>
      <c r="E520" s="2" t="s">
        <v>94</v>
      </c>
      <c r="F520" s="2" t="str">
        <f t="shared" si="16"/>
        <v>Group1</v>
      </c>
      <c r="G520" s="2" t="b">
        <f t="shared" si="14"/>
        <v>0</v>
      </c>
      <c r="H520" s="2" t="str">
        <f t="shared" si="15"/>
        <v>No Conflict (Correct)</v>
      </c>
    </row>
    <row r="521" spans="1:8" x14ac:dyDescent="0.2">
      <c r="A521" s="2" t="s">
        <v>29</v>
      </c>
      <c r="B521" s="2" t="s">
        <v>31</v>
      </c>
      <c r="C521" s="2">
        <v>18</v>
      </c>
      <c r="D521" s="2" t="s">
        <v>94</v>
      </c>
      <c r="E521" s="2" t="s">
        <v>94</v>
      </c>
      <c r="F521" s="2" t="str">
        <f t="shared" si="16"/>
        <v>Group2</v>
      </c>
      <c r="G521" s="2" t="b">
        <f t="shared" si="14"/>
        <v>1</v>
      </c>
      <c r="H521" s="2" t="str">
        <f t="shared" si="15"/>
        <v>Guideline-compliant</v>
      </c>
    </row>
    <row r="522" spans="1:8" x14ac:dyDescent="0.2">
      <c r="A522" s="2" t="s">
        <v>29</v>
      </c>
      <c r="B522" s="2" t="s">
        <v>31</v>
      </c>
      <c r="C522" s="2">
        <v>19</v>
      </c>
      <c r="D522" s="2" t="s">
        <v>94</v>
      </c>
      <c r="E522" s="2" t="s">
        <v>94</v>
      </c>
      <c r="F522" s="2" t="str">
        <f t="shared" si="16"/>
        <v>Group1</v>
      </c>
      <c r="G522" s="2" t="b">
        <f t="shared" si="14"/>
        <v>0</v>
      </c>
      <c r="H522" s="2" t="str">
        <f t="shared" si="15"/>
        <v>No Conflict (Correct)</v>
      </c>
    </row>
    <row r="523" spans="1:8" x14ac:dyDescent="0.2">
      <c r="A523" s="2" t="s">
        <v>29</v>
      </c>
      <c r="B523" s="2" t="s">
        <v>31</v>
      </c>
      <c r="C523" s="2">
        <v>20</v>
      </c>
      <c r="D523" s="2" t="s">
        <v>94</v>
      </c>
      <c r="E523" s="2" t="s">
        <v>94</v>
      </c>
      <c r="F523" s="2" t="str">
        <f t="shared" si="16"/>
        <v>Group2</v>
      </c>
      <c r="G523" s="2" t="b">
        <f t="shared" si="14"/>
        <v>1</v>
      </c>
      <c r="H523" s="2" t="str">
        <f t="shared" si="15"/>
        <v>Guideline-compliant</v>
      </c>
    </row>
    <row r="524" spans="1:8" x14ac:dyDescent="0.2">
      <c r="A524" s="2" t="s">
        <v>29</v>
      </c>
      <c r="B524" s="2" t="s">
        <v>31</v>
      </c>
      <c r="C524" s="2">
        <v>21</v>
      </c>
      <c r="D524" s="2" t="s">
        <v>96</v>
      </c>
      <c r="E524" s="2" t="s">
        <v>96</v>
      </c>
      <c r="F524" s="2" t="str">
        <f t="shared" si="16"/>
        <v>Group2</v>
      </c>
      <c r="G524" s="2" t="b">
        <f t="shared" si="14"/>
        <v>0</v>
      </c>
      <c r="H524" s="2" t="str">
        <f t="shared" si="15"/>
        <v>No Conflict (Correct)</v>
      </c>
    </row>
    <row r="525" spans="1:8" x14ac:dyDescent="0.2">
      <c r="A525" s="2" t="s">
        <v>29</v>
      </c>
      <c r="B525" s="2" t="s">
        <v>31</v>
      </c>
      <c r="C525" s="2">
        <v>22</v>
      </c>
      <c r="D525" s="2" t="s">
        <v>94</v>
      </c>
      <c r="E525" s="2" t="s">
        <v>94</v>
      </c>
      <c r="F525" s="2" t="str">
        <f t="shared" si="16"/>
        <v>Group1</v>
      </c>
      <c r="G525" s="2" t="b">
        <f t="shared" si="14"/>
        <v>0</v>
      </c>
      <c r="H525" s="2" t="str">
        <f t="shared" si="15"/>
        <v>No Conflict (Correct)</v>
      </c>
    </row>
    <row r="526" spans="1:8" x14ac:dyDescent="0.2">
      <c r="A526" s="2" t="s">
        <v>29</v>
      </c>
      <c r="B526" s="2" t="s">
        <v>31</v>
      </c>
      <c r="C526" s="2">
        <v>31</v>
      </c>
      <c r="D526" s="2" t="s">
        <v>94</v>
      </c>
      <c r="E526" s="2" t="s">
        <v>94</v>
      </c>
      <c r="F526" s="2" t="str">
        <f t="shared" si="16"/>
        <v>Group2</v>
      </c>
      <c r="G526" s="2" t="b">
        <f t="shared" si="14"/>
        <v>1</v>
      </c>
      <c r="H526" s="2" t="str">
        <f t="shared" si="15"/>
        <v>Guideline-compliant</v>
      </c>
    </row>
    <row r="527" spans="1:8" x14ac:dyDescent="0.2">
      <c r="A527" s="2" t="s">
        <v>29</v>
      </c>
      <c r="B527" s="2" t="s">
        <v>31</v>
      </c>
      <c r="C527" s="2">
        <v>32</v>
      </c>
      <c r="D527" s="2" t="s">
        <v>94</v>
      </c>
      <c r="E527" s="2" t="s">
        <v>94</v>
      </c>
      <c r="F527" s="2" t="str">
        <f t="shared" si="16"/>
        <v>Group3</v>
      </c>
      <c r="G527" s="2" t="b">
        <f t="shared" si="14"/>
        <v>1</v>
      </c>
      <c r="H527" s="2" t="str">
        <f t="shared" si="15"/>
        <v>Guideline-compliant</v>
      </c>
    </row>
    <row r="528" spans="1:8" x14ac:dyDescent="0.2">
      <c r="A528" s="2" t="s">
        <v>29</v>
      </c>
      <c r="B528" s="2" t="s">
        <v>31</v>
      </c>
      <c r="C528" s="2">
        <v>41</v>
      </c>
      <c r="D528" s="2" t="s">
        <v>96</v>
      </c>
      <c r="E528" s="2" t="s">
        <v>96</v>
      </c>
      <c r="F528" s="2" t="str">
        <f t="shared" si="16"/>
        <v>Group3</v>
      </c>
      <c r="G528" s="2" t="b">
        <f t="shared" si="14"/>
        <v>1</v>
      </c>
      <c r="H528" s="2" t="str">
        <f t="shared" si="15"/>
        <v>Guideline-compliant</v>
      </c>
    </row>
    <row r="529" spans="1:8" x14ac:dyDescent="0.2">
      <c r="A529" s="2" t="s">
        <v>29</v>
      </c>
      <c r="B529" s="2" t="s">
        <v>31</v>
      </c>
      <c r="C529" s="2">
        <v>42</v>
      </c>
      <c r="D529" s="2" t="s">
        <v>110</v>
      </c>
      <c r="E529" s="2" t="s">
        <v>110</v>
      </c>
      <c r="F529" s="2" t="str">
        <f t="shared" si="16"/>
        <v>Group3</v>
      </c>
      <c r="G529" s="2" t="b">
        <f t="shared" si="14"/>
        <v>0</v>
      </c>
      <c r="H529" s="2" t="str">
        <f t="shared" si="15"/>
        <v>No Conflict (Correct)</v>
      </c>
    </row>
    <row r="530" spans="1:8" x14ac:dyDescent="0.2">
      <c r="A530" s="2" t="s">
        <v>29</v>
      </c>
      <c r="B530" s="2" t="s">
        <v>31</v>
      </c>
      <c r="C530" s="2">
        <v>51</v>
      </c>
      <c r="D530" s="2" t="s">
        <v>94</v>
      </c>
      <c r="E530" s="2" t="s">
        <v>94</v>
      </c>
      <c r="F530" s="2" t="str">
        <f t="shared" si="16"/>
        <v>Group2</v>
      </c>
      <c r="G530" s="2" t="b">
        <f t="shared" si="14"/>
        <v>1</v>
      </c>
      <c r="H530" s="2" t="str">
        <f t="shared" si="15"/>
        <v>Guideline-compliant</v>
      </c>
    </row>
    <row r="531" spans="1:8" x14ac:dyDescent="0.2">
      <c r="A531" s="2" t="s">
        <v>29</v>
      </c>
      <c r="B531" s="2" t="s">
        <v>31</v>
      </c>
      <c r="C531" s="2">
        <v>52</v>
      </c>
      <c r="D531" s="2" t="s">
        <v>96</v>
      </c>
      <c r="E531" s="2" t="s">
        <v>94</v>
      </c>
      <c r="F531" s="2" t="str">
        <f t="shared" si="16"/>
        <v>Group2</v>
      </c>
      <c r="G531" s="2" t="b">
        <f t="shared" si="14"/>
        <v>1</v>
      </c>
      <c r="H531" s="2" t="str">
        <f t="shared" si="15"/>
        <v>Knowledge-override</v>
      </c>
    </row>
    <row r="532" spans="1:8" x14ac:dyDescent="0.2">
      <c r="A532" s="2" t="s">
        <v>29</v>
      </c>
      <c r="B532" s="2" t="s">
        <v>31</v>
      </c>
      <c r="C532" s="2">
        <v>61</v>
      </c>
      <c r="D532" s="2" t="s">
        <v>94</v>
      </c>
      <c r="E532" s="2" t="s">
        <v>94</v>
      </c>
      <c r="F532" s="2" t="str">
        <f t="shared" si="16"/>
        <v>Group1</v>
      </c>
      <c r="G532" s="2" t="b">
        <f t="shared" si="14"/>
        <v>0</v>
      </c>
      <c r="H532" s="2" t="str">
        <f t="shared" si="15"/>
        <v>No Conflict (Correct)</v>
      </c>
    </row>
    <row r="533" spans="1:8" x14ac:dyDescent="0.2">
      <c r="A533" s="2" t="s">
        <v>29</v>
      </c>
      <c r="B533" s="2" t="s">
        <v>31</v>
      </c>
      <c r="C533" s="2">
        <v>62</v>
      </c>
      <c r="D533" s="2" t="s">
        <v>94</v>
      </c>
      <c r="E533" s="2" t="s">
        <v>94</v>
      </c>
      <c r="F533" s="2" t="str">
        <f t="shared" si="16"/>
        <v>Group2</v>
      </c>
      <c r="G533" s="2" t="b">
        <f t="shared" si="14"/>
        <v>1</v>
      </c>
      <c r="H533" s="2" t="str">
        <f t="shared" si="15"/>
        <v>Guideline-compliant</v>
      </c>
    </row>
    <row r="534" spans="1:8" x14ac:dyDescent="0.2">
      <c r="A534" s="2" t="s">
        <v>29</v>
      </c>
      <c r="B534" s="2" t="s">
        <v>31</v>
      </c>
      <c r="C534" s="2">
        <v>63</v>
      </c>
      <c r="D534" s="2" t="s">
        <v>94</v>
      </c>
      <c r="E534" s="2" t="s">
        <v>94</v>
      </c>
      <c r="F534" s="2" t="str">
        <f t="shared" si="16"/>
        <v>Group2</v>
      </c>
      <c r="G534" s="2" t="b">
        <f t="shared" si="14"/>
        <v>1</v>
      </c>
      <c r="H534" s="2" t="str">
        <f t="shared" si="15"/>
        <v>Guideline-compliant</v>
      </c>
    </row>
    <row r="535" spans="1:8" x14ac:dyDescent="0.2">
      <c r="A535" s="2" t="s">
        <v>29</v>
      </c>
      <c r="B535" s="2" t="s">
        <v>31</v>
      </c>
      <c r="C535" s="2">
        <v>64</v>
      </c>
      <c r="D535" s="2" t="s">
        <v>94</v>
      </c>
      <c r="E535" s="2" t="s">
        <v>94</v>
      </c>
      <c r="F535" s="2" t="str">
        <f t="shared" si="16"/>
        <v>Group1</v>
      </c>
      <c r="G535" s="2" t="b">
        <f t="shared" si="14"/>
        <v>0</v>
      </c>
      <c r="H535" s="2" t="str">
        <f t="shared" si="15"/>
        <v>No Conflict (Correct)</v>
      </c>
    </row>
    <row r="536" spans="1:8" x14ac:dyDescent="0.2">
      <c r="A536" s="2" t="s">
        <v>29</v>
      </c>
      <c r="B536" s="2" t="s">
        <v>31</v>
      </c>
      <c r="C536" s="2">
        <v>65</v>
      </c>
      <c r="D536" s="2" t="s">
        <v>94</v>
      </c>
      <c r="E536" s="2" t="s">
        <v>94</v>
      </c>
      <c r="F536" s="2" t="str">
        <f t="shared" si="16"/>
        <v>Group2</v>
      </c>
      <c r="G536" s="2" t="b">
        <f t="shared" si="14"/>
        <v>1</v>
      </c>
      <c r="H536" s="2" t="str">
        <f t="shared" si="15"/>
        <v>Guideline-compliant</v>
      </c>
    </row>
    <row r="537" spans="1:8" x14ac:dyDescent="0.2">
      <c r="A537" s="2" t="s">
        <v>29</v>
      </c>
      <c r="B537" s="2" t="s">
        <v>31</v>
      </c>
      <c r="C537" s="2">
        <v>66</v>
      </c>
      <c r="D537" s="2" t="s">
        <v>94</v>
      </c>
      <c r="E537" s="2" t="s">
        <v>94</v>
      </c>
      <c r="F537" s="2" t="str">
        <f t="shared" si="16"/>
        <v>Group1</v>
      </c>
      <c r="G537" s="2" t="b">
        <f t="shared" si="14"/>
        <v>0</v>
      </c>
      <c r="H537" s="2" t="str">
        <f t="shared" si="15"/>
        <v>No Conflict (Correct)</v>
      </c>
    </row>
    <row r="538" spans="1:8" x14ac:dyDescent="0.2">
      <c r="A538" s="2" t="s">
        <v>29</v>
      </c>
      <c r="B538" s="2" t="s">
        <v>31</v>
      </c>
      <c r="C538" s="2">
        <v>67</v>
      </c>
      <c r="D538" s="2" t="s">
        <v>94</v>
      </c>
      <c r="E538" s="2" t="s">
        <v>94</v>
      </c>
      <c r="F538" s="2" t="str">
        <f t="shared" si="16"/>
        <v>Group2</v>
      </c>
      <c r="G538" s="2" t="b">
        <f t="shared" si="14"/>
        <v>1</v>
      </c>
      <c r="H538" s="2" t="str">
        <f t="shared" si="15"/>
        <v>Guideline-compliant</v>
      </c>
    </row>
    <row r="539" spans="1:8" x14ac:dyDescent="0.2">
      <c r="A539" s="2" t="s">
        <v>29</v>
      </c>
      <c r="B539" s="2" t="s">
        <v>31</v>
      </c>
      <c r="C539" s="2">
        <v>68</v>
      </c>
      <c r="D539" s="2" t="s">
        <v>94</v>
      </c>
      <c r="E539" s="2" t="s">
        <v>94</v>
      </c>
      <c r="F539" s="2" t="str">
        <f t="shared" si="16"/>
        <v>Group1</v>
      </c>
      <c r="G539" s="2" t="b">
        <f t="shared" si="14"/>
        <v>0</v>
      </c>
      <c r="H539" s="2" t="str">
        <f t="shared" si="15"/>
        <v>No Conflict (Correct)</v>
      </c>
    </row>
    <row r="540" spans="1:8" x14ac:dyDescent="0.2">
      <c r="A540" s="2" t="s">
        <v>30</v>
      </c>
      <c r="B540" s="2" t="s">
        <v>31</v>
      </c>
      <c r="C540" s="2">
        <v>1</v>
      </c>
      <c r="D540" s="2" t="s">
        <v>28</v>
      </c>
      <c r="E540" s="2" t="s">
        <v>94</v>
      </c>
      <c r="F540" s="2" t="str">
        <f t="shared" si="16"/>
        <v>Group1</v>
      </c>
      <c r="G540" s="2" t="b">
        <f t="shared" si="14"/>
        <v>0</v>
      </c>
      <c r="H540" s="2" t="str">
        <f t="shared" si="15"/>
        <v>Parse Error</v>
      </c>
    </row>
    <row r="541" spans="1:8" x14ac:dyDescent="0.2">
      <c r="A541" s="2" t="s">
        <v>30</v>
      </c>
      <c r="B541" s="2" t="s">
        <v>31</v>
      </c>
      <c r="C541" s="2">
        <v>11</v>
      </c>
      <c r="D541" s="2" t="s">
        <v>28</v>
      </c>
      <c r="E541" s="2" t="s">
        <v>94</v>
      </c>
      <c r="F541" s="2" t="str">
        <f t="shared" si="16"/>
        <v>Group1</v>
      </c>
      <c r="G541" s="2" t="b">
        <f t="shared" si="14"/>
        <v>0</v>
      </c>
      <c r="H541" s="2" t="str">
        <f t="shared" si="15"/>
        <v>Parse Error</v>
      </c>
    </row>
    <row r="542" spans="1:8" x14ac:dyDescent="0.2">
      <c r="A542" s="2" t="s">
        <v>30</v>
      </c>
      <c r="B542" s="2" t="s">
        <v>31</v>
      </c>
      <c r="C542" s="2">
        <v>12</v>
      </c>
      <c r="D542" s="2" t="s">
        <v>28</v>
      </c>
      <c r="E542" s="2" t="s">
        <v>94</v>
      </c>
      <c r="F542" s="2" t="str">
        <f t="shared" si="16"/>
        <v>Group2</v>
      </c>
      <c r="G542" s="2" t="b">
        <f t="shared" si="14"/>
        <v>1</v>
      </c>
      <c r="H542" s="2" t="str">
        <f t="shared" si="15"/>
        <v>Parse Error</v>
      </c>
    </row>
    <row r="543" spans="1:8" x14ac:dyDescent="0.2">
      <c r="A543" s="2" t="s">
        <v>30</v>
      </c>
      <c r="B543" s="2" t="s">
        <v>31</v>
      </c>
      <c r="C543" s="2">
        <v>13</v>
      </c>
      <c r="D543" s="2" t="s">
        <v>28</v>
      </c>
      <c r="E543" s="2" t="s">
        <v>94</v>
      </c>
      <c r="F543" s="2" t="str">
        <f t="shared" si="16"/>
        <v>Group1</v>
      </c>
      <c r="G543" s="2" t="b">
        <f t="shared" ref="G543:G606" si="17">IF(F543="N/A",FALSE(),E543&lt;&gt;F543)</f>
        <v>0</v>
      </c>
      <c r="H543" s="2" t="str">
        <f t="shared" ref="H543:H606" si="18">IF(D543="PARSE_ERROR","Parse Error",IF(NOT(G543),IF(D543=E543,"No Conflict (Correct)","No Conflict (Incorrect)"),IF(D543=E543,"Guideline-compliant",IF(D543=F543,"Knowledge-override","Neither"))))</f>
        <v>Parse Error</v>
      </c>
    </row>
    <row r="544" spans="1:8" x14ac:dyDescent="0.2">
      <c r="A544" s="2" t="s">
        <v>30</v>
      </c>
      <c r="B544" s="2" t="s">
        <v>31</v>
      </c>
      <c r="C544" s="2">
        <v>14</v>
      </c>
      <c r="D544" s="2" t="s">
        <v>28</v>
      </c>
      <c r="E544" s="2" t="s">
        <v>94</v>
      </c>
      <c r="F544" s="2" t="str">
        <f t="shared" ref="F544:F607" si="19">IFERROR(INDEX($K$351:$K$377,MATCH(C544,$J$351:$J$377,0)),"N/A")</f>
        <v>Group2</v>
      </c>
      <c r="G544" s="2" t="b">
        <f t="shared" si="17"/>
        <v>1</v>
      </c>
      <c r="H544" s="2" t="str">
        <f t="shared" si="18"/>
        <v>Parse Error</v>
      </c>
    </row>
    <row r="545" spans="1:8" x14ac:dyDescent="0.2">
      <c r="A545" s="2" t="s">
        <v>30</v>
      </c>
      <c r="B545" s="2" t="s">
        <v>31</v>
      </c>
      <c r="C545" s="2">
        <v>15</v>
      </c>
      <c r="D545" s="2" t="s">
        <v>28</v>
      </c>
      <c r="E545" s="2" t="s">
        <v>94</v>
      </c>
      <c r="F545" s="2" t="str">
        <f t="shared" si="19"/>
        <v>Group1</v>
      </c>
      <c r="G545" s="2" t="b">
        <f t="shared" si="17"/>
        <v>0</v>
      </c>
      <c r="H545" s="2" t="str">
        <f t="shared" si="18"/>
        <v>Parse Error</v>
      </c>
    </row>
    <row r="546" spans="1:8" x14ac:dyDescent="0.2">
      <c r="A546" s="2" t="s">
        <v>30</v>
      </c>
      <c r="B546" s="2" t="s">
        <v>31</v>
      </c>
      <c r="C546" s="2">
        <v>16</v>
      </c>
      <c r="D546" s="2" t="s">
        <v>28</v>
      </c>
      <c r="E546" s="2" t="s">
        <v>94</v>
      </c>
      <c r="F546" s="2" t="str">
        <f t="shared" si="19"/>
        <v>Group2</v>
      </c>
      <c r="G546" s="2" t="b">
        <f t="shared" si="17"/>
        <v>1</v>
      </c>
      <c r="H546" s="2" t="str">
        <f t="shared" si="18"/>
        <v>Parse Error</v>
      </c>
    </row>
    <row r="547" spans="1:8" x14ac:dyDescent="0.2">
      <c r="A547" s="2" t="s">
        <v>30</v>
      </c>
      <c r="B547" s="2" t="s">
        <v>31</v>
      </c>
      <c r="C547" s="2">
        <v>17</v>
      </c>
      <c r="D547" s="2" t="s">
        <v>28</v>
      </c>
      <c r="E547" s="2" t="s">
        <v>94</v>
      </c>
      <c r="F547" s="2" t="str">
        <f t="shared" si="19"/>
        <v>Group1</v>
      </c>
      <c r="G547" s="2" t="b">
        <f t="shared" si="17"/>
        <v>0</v>
      </c>
      <c r="H547" s="2" t="str">
        <f t="shared" si="18"/>
        <v>Parse Error</v>
      </c>
    </row>
    <row r="548" spans="1:8" x14ac:dyDescent="0.2">
      <c r="A548" s="2" t="s">
        <v>30</v>
      </c>
      <c r="B548" s="2" t="s">
        <v>31</v>
      </c>
      <c r="C548" s="2">
        <v>18</v>
      </c>
      <c r="D548" s="2" t="s">
        <v>28</v>
      </c>
      <c r="E548" s="2" t="s">
        <v>94</v>
      </c>
      <c r="F548" s="2" t="str">
        <f t="shared" si="19"/>
        <v>Group2</v>
      </c>
      <c r="G548" s="2" t="b">
        <f t="shared" si="17"/>
        <v>1</v>
      </c>
      <c r="H548" s="2" t="str">
        <f t="shared" si="18"/>
        <v>Parse Error</v>
      </c>
    </row>
    <row r="549" spans="1:8" x14ac:dyDescent="0.2">
      <c r="A549" s="2" t="s">
        <v>30</v>
      </c>
      <c r="B549" s="2" t="s">
        <v>31</v>
      </c>
      <c r="C549" s="2">
        <v>19</v>
      </c>
      <c r="D549" s="2" t="s">
        <v>28</v>
      </c>
      <c r="E549" s="2" t="s">
        <v>94</v>
      </c>
      <c r="F549" s="2" t="str">
        <f t="shared" si="19"/>
        <v>Group1</v>
      </c>
      <c r="G549" s="2" t="b">
        <f t="shared" si="17"/>
        <v>0</v>
      </c>
      <c r="H549" s="2" t="str">
        <f t="shared" si="18"/>
        <v>Parse Error</v>
      </c>
    </row>
    <row r="550" spans="1:8" x14ac:dyDescent="0.2">
      <c r="A550" s="2" t="s">
        <v>30</v>
      </c>
      <c r="B550" s="2" t="s">
        <v>31</v>
      </c>
      <c r="C550" s="2">
        <v>20</v>
      </c>
      <c r="D550" s="2" t="s">
        <v>28</v>
      </c>
      <c r="E550" s="2" t="s">
        <v>94</v>
      </c>
      <c r="F550" s="2" t="str">
        <f t="shared" si="19"/>
        <v>Group2</v>
      </c>
      <c r="G550" s="2" t="b">
        <f t="shared" si="17"/>
        <v>1</v>
      </c>
      <c r="H550" s="2" t="str">
        <f t="shared" si="18"/>
        <v>Parse Error</v>
      </c>
    </row>
    <row r="551" spans="1:8" x14ac:dyDescent="0.2">
      <c r="A551" s="2" t="s">
        <v>30</v>
      </c>
      <c r="B551" s="2" t="s">
        <v>31</v>
      </c>
      <c r="C551" s="2">
        <v>21</v>
      </c>
      <c r="D551" s="2" t="s">
        <v>28</v>
      </c>
      <c r="E551" s="2" t="s">
        <v>96</v>
      </c>
      <c r="F551" s="2" t="str">
        <f t="shared" si="19"/>
        <v>Group2</v>
      </c>
      <c r="G551" s="2" t="b">
        <f t="shared" si="17"/>
        <v>0</v>
      </c>
      <c r="H551" s="2" t="str">
        <f t="shared" si="18"/>
        <v>Parse Error</v>
      </c>
    </row>
    <row r="552" spans="1:8" x14ac:dyDescent="0.2">
      <c r="A552" s="2" t="s">
        <v>30</v>
      </c>
      <c r="B552" s="2" t="s">
        <v>31</v>
      </c>
      <c r="C552" s="2">
        <v>22</v>
      </c>
      <c r="D552" s="2" t="s">
        <v>28</v>
      </c>
      <c r="E552" s="2" t="s">
        <v>94</v>
      </c>
      <c r="F552" s="2" t="str">
        <f t="shared" si="19"/>
        <v>Group1</v>
      </c>
      <c r="G552" s="2" t="b">
        <f t="shared" si="17"/>
        <v>0</v>
      </c>
      <c r="H552" s="2" t="str">
        <f t="shared" si="18"/>
        <v>Parse Error</v>
      </c>
    </row>
    <row r="553" spans="1:8" x14ac:dyDescent="0.2">
      <c r="A553" s="2" t="s">
        <v>30</v>
      </c>
      <c r="B553" s="2" t="s">
        <v>31</v>
      </c>
      <c r="C553" s="2">
        <v>31</v>
      </c>
      <c r="D553" s="2" t="s">
        <v>28</v>
      </c>
      <c r="E553" s="2" t="s">
        <v>94</v>
      </c>
      <c r="F553" s="2" t="str">
        <f t="shared" si="19"/>
        <v>Group2</v>
      </c>
      <c r="G553" s="2" t="b">
        <f t="shared" si="17"/>
        <v>1</v>
      </c>
      <c r="H553" s="2" t="str">
        <f t="shared" si="18"/>
        <v>Parse Error</v>
      </c>
    </row>
    <row r="554" spans="1:8" x14ac:dyDescent="0.2">
      <c r="A554" s="2" t="s">
        <v>30</v>
      </c>
      <c r="B554" s="2" t="s">
        <v>31</v>
      </c>
      <c r="C554" s="2">
        <v>32</v>
      </c>
      <c r="D554" s="2" t="s">
        <v>28</v>
      </c>
      <c r="E554" s="2" t="s">
        <v>94</v>
      </c>
      <c r="F554" s="2" t="str">
        <f t="shared" si="19"/>
        <v>Group3</v>
      </c>
      <c r="G554" s="2" t="b">
        <f t="shared" si="17"/>
        <v>1</v>
      </c>
      <c r="H554" s="2" t="str">
        <f t="shared" si="18"/>
        <v>Parse Error</v>
      </c>
    </row>
    <row r="555" spans="1:8" x14ac:dyDescent="0.2">
      <c r="A555" s="2" t="s">
        <v>30</v>
      </c>
      <c r="B555" s="2" t="s">
        <v>31</v>
      </c>
      <c r="C555" s="2">
        <v>41</v>
      </c>
      <c r="D555" s="2" t="s">
        <v>28</v>
      </c>
      <c r="E555" s="2" t="s">
        <v>96</v>
      </c>
      <c r="F555" s="2" t="str">
        <f t="shared" si="19"/>
        <v>Group3</v>
      </c>
      <c r="G555" s="2" t="b">
        <f t="shared" si="17"/>
        <v>1</v>
      </c>
      <c r="H555" s="2" t="str">
        <f t="shared" si="18"/>
        <v>Parse Error</v>
      </c>
    </row>
    <row r="556" spans="1:8" x14ac:dyDescent="0.2">
      <c r="A556" s="2" t="s">
        <v>30</v>
      </c>
      <c r="B556" s="2" t="s">
        <v>31</v>
      </c>
      <c r="C556" s="2">
        <v>42</v>
      </c>
      <c r="D556" s="2" t="s">
        <v>28</v>
      </c>
      <c r="E556" s="2" t="s">
        <v>110</v>
      </c>
      <c r="F556" s="2" t="str">
        <f t="shared" si="19"/>
        <v>Group3</v>
      </c>
      <c r="G556" s="2" t="b">
        <f t="shared" si="17"/>
        <v>0</v>
      </c>
      <c r="H556" s="2" t="str">
        <f t="shared" si="18"/>
        <v>Parse Error</v>
      </c>
    </row>
    <row r="557" spans="1:8" x14ac:dyDescent="0.2">
      <c r="A557" s="2" t="s">
        <v>30</v>
      </c>
      <c r="B557" s="2" t="s">
        <v>31</v>
      </c>
      <c r="C557" s="2">
        <v>51</v>
      </c>
      <c r="D557" s="2" t="s">
        <v>28</v>
      </c>
      <c r="E557" s="2" t="s">
        <v>94</v>
      </c>
      <c r="F557" s="2" t="str">
        <f t="shared" si="19"/>
        <v>Group2</v>
      </c>
      <c r="G557" s="2" t="b">
        <f t="shared" si="17"/>
        <v>1</v>
      </c>
      <c r="H557" s="2" t="str">
        <f t="shared" si="18"/>
        <v>Parse Error</v>
      </c>
    </row>
    <row r="558" spans="1:8" x14ac:dyDescent="0.2">
      <c r="A558" s="2" t="s">
        <v>30</v>
      </c>
      <c r="B558" s="2" t="s">
        <v>31</v>
      </c>
      <c r="C558" s="2">
        <v>52</v>
      </c>
      <c r="D558" s="2" t="s">
        <v>28</v>
      </c>
      <c r="E558" s="2" t="s">
        <v>94</v>
      </c>
      <c r="F558" s="2" t="str">
        <f t="shared" si="19"/>
        <v>Group2</v>
      </c>
      <c r="G558" s="2" t="b">
        <f t="shared" si="17"/>
        <v>1</v>
      </c>
      <c r="H558" s="2" t="str">
        <f t="shared" si="18"/>
        <v>Parse Error</v>
      </c>
    </row>
    <row r="559" spans="1:8" x14ac:dyDescent="0.2">
      <c r="A559" s="2" t="s">
        <v>30</v>
      </c>
      <c r="B559" s="2" t="s">
        <v>31</v>
      </c>
      <c r="C559" s="2">
        <v>61</v>
      </c>
      <c r="D559" s="2" t="s">
        <v>28</v>
      </c>
      <c r="E559" s="2" t="s">
        <v>94</v>
      </c>
      <c r="F559" s="2" t="str">
        <f t="shared" si="19"/>
        <v>Group1</v>
      </c>
      <c r="G559" s="2" t="b">
        <f t="shared" si="17"/>
        <v>0</v>
      </c>
      <c r="H559" s="2" t="str">
        <f t="shared" si="18"/>
        <v>Parse Error</v>
      </c>
    </row>
    <row r="560" spans="1:8" x14ac:dyDescent="0.2">
      <c r="A560" s="2" t="s">
        <v>30</v>
      </c>
      <c r="B560" s="2" t="s">
        <v>31</v>
      </c>
      <c r="C560" s="2">
        <v>62</v>
      </c>
      <c r="D560" s="2" t="s">
        <v>28</v>
      </c>
      <c r="E560" s="2" t="s">
        <v>94</v>
      </c>
      <c r="F560" s="2" t="str">
        <f t="shared" si="19"/>
        <v>Group2</v>
      </c>
      <c r="G560" s="2" t="b">
        <f t="shared" si="17"/>
        <v>1</v>
      </c>
      <c r="H560" s="2" t="str">
        <f t="shared" si="18"/>
        <v>Parse Error</v>
      </c>
    </row>
    <row r="561" spans="1:8" x14ac:dyDescent="0.2">
      <c r="A561" s="2" t="s">
        <v>30</v>
      </c>
      <c r="B561" s="2" t="s">
        <v>31</v>
      </c>
      <c r="C561" s="2">
        <v>63</v>
      </c>
      <c r="D561" s="2" t="s">
        <v>28</v>
      </c>
      <c r="E561" s="2" t="s">
        <v>94</v>
      </c>
      <c r="F561" s="2" t="str">
        <f t="shared" si="19"/>
        <v>Group2</v>
      </c>
      <c r="G561" s="2" t="b">
        <f t="shared" si="17"/>
        <v>1</v>
      </c>
      <c r="H561" s="2" t="str">
        <f t="shared" si="18"/>
        <v>Parse Error</v>
      </c>
    </row>
    <row r="562" spans="1:8" x14ac:dyDescent="0.2">
      <c r="A562" s="2" t="s">
        <v>30</v>
      </c>
      <c r="B562" s="2" t="s">
        <v>31</v>
      </c>
      <c r="C562" s="2">
        <v>64</v>
      </c>
      <c r="D562" s="2" t="s">
        <v>28</v>
      </c>
      <c r="E562" s="2" t="s">
        <v>94</v>
      </c>
      <c r="F562" s="2" t="str">
        <f t="shared" si="19"/>
        <v>Group1</v>
      </c>
      <c r="G562" s="2" t="b">
        <f t="shared" si="17"/>
        <v>0</v>
      </c>
      <c r="H562" s="2" t="str">
        <f t="shared" si="18"/>
        <v>Parse Error</v>
      </c>
    </row>
    <row r="563" spans="1:8" x14ac:dyDescent="0.2">
      <c r="A563" s="2" t="s">
        <v>30</v>
      </c>
      <c r="B563" s="2" t="s">
        <v>31</v>
      </c>
      <c r="C563" s="2">
        <v>65</v>
      </c>
      <c r="D563" s="2" t="s">
        <v>28</v>
      </c>
      <c r="E563" s="2" t="s">
        <v>94</v>
      </c>
      <c r="F563" s="2" t="str">
        <f t="shared" si="19"/>
        <v>Group2</v>
      </c>
      <c r="G563" s="2" t="b">
        <f t="shared" si="17"/>
        <v>1</v>
      </c>
      <c r="H563" s="2" t="str">
        <f t="shared" si="18"/>
        <v>Parse Error</v>
      </c>
    </row>
    <row r="564" spans="1:8" x14ac:dyDescent="0.2">
      <c r="A564" s="2" t="s">
        <v>30</v>
      </c>
      <c r="B564" s="2" t="s">
        <v>31</v>
      </c>
      <c r="C564" s="2">
        <v>66</v>
      </c>
      <c r="D564" s="2" t="s">
        <v>28</v>
      </c>
      <c r="E564" s="2" t="s">
        <v>94</v>
      </c>
      <c r="F564" s="2" t="str">
        <f t="shared" si="19"/>
        <v>Group1</v>
      </c>
      <c r="G564" s="2" t="b">
        <f t="shared" si="17"/>
        <v>0</v>
      </c>
      <c r="H564" s="2" t="str">
        <f t="shared" si="18"/>
        <v>Parse Error</v>
      </c>
    </row>
    <row r="565" spans="1:8" x14ac:dyDescent="0.2">
      <c r="A565" s="2" t="s">
        <v>30</v>
      </c>
      <c r="B565" s="2" t="s">
        <v>31</v>
      </c>
      <c r="C565" s="2">
        <v>67</v>
      </c>
      <c r="D565" s="2" t="s">
        <v>28</v>
      </c>
      <c r="E565" s="2" t="s">
        <v>94</v>
      </c>
      <c r="F565" s="2" t="str">
        <f t="shared" si="19"/>
        <v>Group2</v>
      </c>
      <c r="G565" s="2" t="b">
        <f t="shared" si="17"/>
        <v>1</v>
      </c>
      <c r="H565" s="2" t="str">
        <f t="shared" si="18"/>
        <v>Parse Error</v>
      </c>
    </row>
    <row r="566" spans="1:8" x14ac:dyDescent="0.2">
      <c r="A566" s="2" t="s">
        <v>30</v>
      </c>
      <c r="B566" s="2" t="s">
        <v>31</v>
      </c>
      <c r="C566" s="2">
        <v>68</v>
      </c>
      <c r="D566" s="2" t="s">
        <v>28</v>
      </c>
      <c r="E566" s="2" t="s">
        <v>94</v>
      </c>
      <c r="F566" s="2" t="str">
        <f t="shared" si="19"/>
        <v>Group1</v>
      </c>
      <c r="G566" s="2" t="b">
        <f t="shared" si="17"/>
        <v>0</v>
      </c>
      <c r="H566" s="2" t="str">
        <f t="shared" si="18"/>
        <v>Parse Error</v>
      </c>
    </row>
    <row r="567" spans="1:8" x14ac:dyDescent="0.2">
      <c r="A567" s="2" t="s">
        <v>8</v>
      </c>
      <c r="B567" s="2" t="s">
        <v>32</v>
      </c>
      <c r="C567" s="2">
        <v>1</v>
      </c>
      <c r="D567" s="2" t="s">
        <v>110</v>
      </c>
      <c r="E567" s="2" t="s">
        <v>110</v>
      </c>
      <c r="F567" s="2" t="str">
        <f t="shared" si="19"/>
        <v>Group1</v>
      </c>
      <c r="G567" s="2" t="b">
        <f t="shared" si="17"/>
        <v>1</v>
      </c>
      <c r="H567" s="2" t="str">
        <f t="shared" si="18"/>
        <v>Guideline-compliant</v>
      </c>
    </row>
    <row r="568" spans="1:8" x14ac:dyDescent="0.2">
      <c r="A568" s="2" t="s">
        <v>8</v>
      </c>
      <c r="B568" s="2" t="s">
        <v>32</v>
      </c>
      <c r="C568" s="2">
        <v>11</v>
      </c>
      <c r="D568" s="2" t="s">
        <v>110</v>
      </c>
      <c r="E568" s="2" t="s">
        <v>110</v>
      </c>
      <c r="F568" s="2" t="str">
        <f t="shared" si="19"/>
        <v>Group1</v>
      </c>
      <c r="G568" s="2" t="b">
        <f t="shared" si="17"/>
        <v>1</v>
      </c>
      <c r="H568" s="2" t="str">
        <f t="shared" si="18"/>
        <v>Guideline-compliant</v>
      </c>
    </row>
    <row r="569" spans="1:8" x14ac:dyDescent="0.2">
      <c r="A569" s="2" t="s">
        <v>8</v>
      </c>
      <c r="B569" s="2" t="s">
        <v>32</v>
      </c>
      <c r="C569" s="2">
        <v>12</v>
      </c>
      <c r="D569" s="2" t="s">
        <v>110</v>
      </c>
      <c r="E569" s="2" t="s">
        <v>96</v>
      </c>
      <c r="F569" s="2" t="str">
        <f t="shared" si="19"/>
        <v>Group2</v>
      </c>
      <c r="G569" s="2" t="b">
        <f t="shared" si="17"/>
        <v>0</v>
      </c>
      <c r="H569" s="2" t="str">
        <f t="shared" si="18"/>
        <v>No Conflict (Incorrect)</v>
      </c>
    </row>
    <row r="570" spans="1:8" x14ac:dyDescent="0.2">
      <c r="A570" s="2" t="s">
        <v>8</v>
      </c>
      <c r="B570" s="2" t="s">
        <v>32</v>
      </c>
      <c r="C570" s="2">
        <v>13</v>
      </c>
      <c r="D570" s="2" t="s">
        <v>110</v>
      </c>
      <c r="E570" s="2" t="s">
        <v>110</v>
      </c>
      <c r="F570" s="2" t="str">
        <f t="shared" si="19"/>
        <v>Group1</v>
      </c>
      <c r="G570" s="2" t="b">
        <f t="shared" si="17"/>
        <v>1</v>
      </c>
      <c r="H570" s="2" t="str">
        <f t="shared" si="18"/>
        <v>Guideline-compliant</v>
      </c>
    </row>
    <row r="571" spans="1:8" x14ac:dyDescent="0.2">
      <c r="A571" s="2" t="s">
        <v>8</v>
      </c>
      <c r="B571" s="2" t="s">
        <v>32</v>
      </c>
      <c r="C571" s="2">
        <v>14</v>
      </c>
      <c r="D571" s="2" t="s">
        <v>96</v>
      </c>
      <c r="E571" s="2" t="s">
        <v>96</v>
      </c>
      <c r="F571" s="2" t="str">
        <f t="shared" si="19"/>
        <v>Group2</v>
      </c>
      <c r="G571" s="2" t="b">
        <f t="shared" si="17"/>
        <v>0</v>
      </c>
      <c r="H571" s="2" t="str">
        <f t="shared" si="18"/>
        <v>No Conflict (Correct)</v>
      </c>
    </row>
    <row r="572" spans="1:8" x14ac:dyDescent="0.2">
      <c r="A572" s="2" t="s">
        <v>8</v>
      </c>
      <c r="B572" s="2" t="s">
        <v>32</v>
      </c>
      <c r="C572" s="2">
        <v>15</v>
      </c>
      <c r="D572" s="2" t="s">
        <v>110</v>
      </c>
      <c r="E572" s="2" t="s">
        <v>110</v>
      </c>
      <c r="F572" s="2" t="str">
        <f t="shared" si="19"/>
        <v>Group1</v>
      </c>
      <c r="G572" s="2" t="b">
        <f t="shared" si="17"/>
        <v>1</v>
      </c>
      <c r="H572" s="2" t="str">
        <f t="shared" si="18"/>
        <v>Guideline-compliant</v>
      </c>
    </row>
    <row r="573" spans="1:8" x14ac:dyDescent="0.2">
      <c r="A573" s="2" t="s">
        <v>8</v>
      </c>
      <c r="B573" s="2" t="s">
        <v>32</v>
      </c>
      <c r="C573" s="2">
        <v>16</v>
      </c>
      <c r="D573" s="2" t="s">
        <v>96</v>
      </c>
      <c r="E573" s="2" t="s">
        <v>96</v>
      </c>
      <c r="F573" s="2" t="str">
        <f t="shared" si="19"/>
        <v>Group2</v>
      </c>
      <c r="G573" s="2" t="b">
        <f t="shared" si="17"/>
        <v>0</v>
      </c>
      <c r="H573" s="2" t="str">
        <f t="shared" si="18"/>
        <v>No Conflict (Correct)</v>
      </c>
    </row>
    <row r="574" spans="1:8" x14ac:dyDescent="0.2">
      <c r="A574" s="2" t="s">
        <v>8</v>
      </c>
      <c r="B574" s="2" t="s">
        <v>32</v>
      </c>
      <c r="C574" s="2">
        <v>17</v>
      </c>
      <c r="D574" s="2" t="s">
        <v>110</v>
      </c>
      <c r="E574" s="2" t="s">
        <v>110</v>
      </c>
      <c r="F574" s="2" t="str">
        <f t="shared" si="19"/>
        <v>Group1</v>
      </c>
      <c r="G574" s="2" t="b">
        <f t="shared" si="17"/>
        <v>1</v>
      </c>
      <c r="H574" s="2" t="str">
        <f t="shared" si="18"/>
        <v>Guideline-compliant</v>
      </c>
    </row>
    <row r="575" spans="1:8" x14ac:dyDescent="0.2">
      <c r="A575" s="2" t="s">
        <v>8</v>
      </c>
      <c r="B575" s="2" t="s">
        <v>32</v>
      </c>
      <c r="C575" s="2">
        <v>18</v>
      </c>
      <c r="D575" s="2" t="s">
        <v>110</v>
      </c>
      <c r="E575" s="2" t="s">
        <v>96</v>
      </c>
      <c r="F575" s="2" t="str">
        <f t="shared" si="19"/>
        <v>Group2</v>
      </c>
      <c r="G575" s="2" t="b">
        <f t="shared" si="17"/>
        <v>0</v>
      </c>
      <c r="H575" s="2" t="str">
        <f t="shared" si="18"/>
        <v>No Conflict (Incorrect)</v>
      </c>
    </row>
    <row r="576" spans="1:8" x14ac:dyDescent="0.2">
      <c r="A576" s="2" t="s">
        <v>8</v>
      </c>
      <c r="B576" s="2" t="s">
        <v>32</v>
      </c>
      <c r="C576" s="2">
        <v>19</v>
      </c>
      <c r="D576" s="2" t="s">
        <v>110</v>
      </c>
      <c r="E576" s="2" t="s">
        <v>110</v>
      </c>
      <c r="F576" s="2" t="str">
        <f t="shared" si="19"/>
        <v>Group1</v>
      </c>
      <c r="G576" s="2" t="b">
        <f t="shared" si="17"/>
        <v>1</v>
      </c>
      <c r="H576" s="2" t="str">
        <f t="shared" si="18"/>
        <v>Guideline-compliant</v>
      </c>
    </row>
    <row r="577" spans="1:8" x14ac:dyDescent="0.2">
      <c r="A577" s="2" t="s">
        <v>8</v>
      </c>
      <c r="B577" s="2" t="s">
        <v>32</v>
      </c>
      <c r="C577" s="2">
        <v>20</v>
      </c>
      <c r="D577" s="2" t="s">
        <v>96</v>
      </c>
      <c r="E577" s="2" t="s">
        <v>96</v>
      </c>
      <c r="F577" s="2" t="str">
        <f t="shared" si="19"/>
        <v>Group2</v>
      </c>
      <c r="G577" s="2" t="b">
        <f t="shared" si="17"/>
        <v>0</v>
      </c>
      <c r="H577" s="2" t="str">
        <f t="shared" si="18"/>
        <v>No Conflict (Correct)</v>
      </c>
    </row>
    <row r="578" spans="1:8" x14ac:dyDescent="0.2">
      <c r="A578" s="2" t="s">
        <v>8</v>
      </c>
      <c r="B578" s="2" t="s">
        <v>32</v>
      </c>
      <c r="C578" s="2">
        <v>21</v>
      </c>
      <c r="D578" s="2" t="s">
        <v>96</v>
      </c>
      <c r="E578" s="2" t="s">
        <v>96</v>
      </c>
      <c r="F578" s="2" t="str">
        <f t="shared" si="19"/>
        <v>Group2</v>
      </c>
      <c r="G578" s="2" t="b">
        <f t="shared" si="17"/>
        <v>0</v>
      </c>
      <c r="H578" s="2" t="str">
        <f t="shared" si="18"/>
        <v>No Conflict (Correct)</v>
      </c>
    </row>
    <row r="579" spans="1:8" x14ac:dyDescent="0.2">
      <c r="A579" s="2" t="s">
        <v>8</v>
      </c>
      <c r="B579" s="2" t="s">
        <v>32</v>
      </c>
      <c r="C579" s="2">
        <v>22</v>
      </c>
      <c r="D579" s="2" t="s">
        <v>110</v>
      </c>
      <c r="E579" s="2" t="s">
        <v>110</v>
      </c>
      <c r="F579" s="2" t="str">
        <f t="shared" si="19"/>
        <v>Group1</v>
      </c>
      <c r="G579" s="2" t="b">
        <f t="shared" si="17"/>
        <v>1</v>
      </c>
      <c r="H579" s="2" t="str">
        <f t="shared" si="18"/>
        <v>Guideline-compliant</v>
      </c>
    </row>
    <row r="580" spans="1:8" x14ac:dyDescent="0.2">
      <c r="A580" s="2" t="s">
        <v>8</v>
      </c>
      <c r="B580" s="2" t="s">
        <v>32</v>
      </c>
      <c r="C580" s="2">
        <v>31</v>
      </c>
      <c r="D580" s="2" t="s">
        <v>110</v>
      </c>
      <c r="E580" s="2" t="s">
        <v>96</v>
      </c>
      <c r="F580" s="2" t="str">
        <f t="shared" si="19"/>
        <v>Group2</v>
      </c>
      <c r="G580" s="2" t="b">
        <f t="shared" si="17"/>
        <v>0</v>
      </c>
      <c r="H580" s="2" t="str">
        <f t="shared" si="18"/>
        <v>No Conflict (Incorrect)</v>
      </c>
    </row>
    <row r="581" spans="1:8" x14ac:dyDescent="0.2">
      <c r="A581" s="2" t="s">
        <v>8</v>
      </c>
      <c r="B581" s="2" t="s">
        <v>32</v>
      </c>
      <c r="C581" s="2">
        <v>32</v>
      </c>
      <c r="D581" s="2" t="s">
        <v>94</v>
      </c>
      <c r="E581" s="2" t="s">
        <v>94</v>
      </c>
      <c r="F581" s="2" t="str">
        <f t="shared" si="19"/>
        <v>Group3</v>
      </c>
      <c r="G581" s="2" t="b">
        <f t="shared" si="17"/>
        <v>1</v>
      </c>
      <c r="H581" s="2" t="str">
        <f t="shared" si="18"/>
        <v>Guideline-compliant</v>
      </c>
    </row>
    <row r="582" spans="1:8" x14ac:dyDescent="0.2">
      <c r="A582" s="2" t="s">
        <v>8</v>
      </c>
      <c r="B582" s="2" t="s">
        <v>32</v>
      </c>
      <c r="C582" s="2">
        <v>41</v>
      </c>
      <c r="D582" s="2" t="s">
        <v>110</v>
      </c>
      <c r="E582" s="2" t="s">
        <v>94</v>
      </c>
      <c r="F582" s="2" t="str">
        <f t="shared" si="19"/>
        <v>Group3</v>
      </c>
      <c r="G582" s="2" t="b">
        <f t="shared" si="17"/>
        <v>1</v>
      </c>
      <c r="H582" s="2" t="str">
        <f t="shared" si="18"/>
        <v>Knowledge-override</v>
      </c>
    </row>
    <row r="583" spans="1:8" x14ac:dyDescent="0.2">
      <c r="A583" s="2" t="s">
        <v>8</v>
      </c>
      <c r="B583" s="2" t="s">
        <v>32</v>
      </c>
      <c r="C583" s="2">
        <v>42</v>
      </c>
      <c r="D583" s="2" t="s">
        <v>94</v>
      </c>
      <c r="E583" s="2" t="s">
        <v>94</v>
      </c>
      <c r="F583" s="2" t="str">
        <f t="shared" si="19"/>
        <v>Group3</v>
      </c>
      <c r="G583" s="2" t="b">
        <f t="shared" si="17"/>
        <v>1</v>
      </c>
      <c r="H583" s="2" t="str">
        <f t="shared" si="18"/>
        <v>Guideline-compliant</v>
      </c>
    </row>
    <row r="584" spans="1:8" x14ac:dyDescent="0.2">
      <c r="A584" s="2" t="s">
        <v>8</v>
      </c>
      <c r="B584" s="2" t="s">
        <v>32</v>
      </c>
      <c r="C584" s="2">
        <v>51</v>
      </c>
      <c r="D584" s="2" t="s">
        <v>110</v>
      </c>
      <c r="E584" s="2" t="s">
        <v>96</v>
      </c>
      <c r="F584" s="2" t="str">
        <f t="shared" si="19"/>
        <v>Group2</v>
      </c>
      <c r="G584" s="2" t="b">
        <f t="shared" si="17"/>
        <v>0</v>
      </c>
      <c r="H584" s="2" t="str">
        <f t="shared" si="18"/>
        <v>No Conflict (Incorrect)</v>
      </c>
    </row>
    <row r="585" spans="1:8" x14ac:dyDescent="0.2">
      <c r="A585" s="2" t="s">
        <v>8</v>
      </c>
      <c r="B585" s="2" t="s">
        <v>32</v>
      </c>
      <c r="C585" s="2">
        <v>52</v>
      </c>
      <c r="D585" s="2" t="s">
        <v>110</v>
      </c>
      <c r="E585" s="2" t="s">
        <v>96</v>
      </c>
      <c r="F585" s="2" t="str">
        <f t="shared" si="19"/>
        <v>Group2</v>
      </c>
      <c r="G585" s="2" t="b">
        <f t="shared" si="17"/>
        <v>0</v>
      </c>
      <c r="H585" s="2" t="str">
        <f t="shared" si="18"/>
        <v>No Conflict (Incorrect)</v>
      </c>
    </row>
    <row r="586" spans="1:8" x14ac:dyDescent="0.2">
      <c r="A586" s="2" t="s">
        <v>8</v>
      </c>
      <c r="B586" s="2" t="s">
        <v>32</v>
      </c>
      <c r="C586" s="2">
        <v>61</v>
      </c>
      <c r="D586" s="2" t="s">
        <v>110</v>
      </c>
      <c r="E586" s="2" t="s">
        <v>110</v>
      </c>
      <c r="F586" s="2" t="str">
        <f t="shared" si="19"/>
        <v>Group1</v>
      </c>
      <c r="G586" s="2" t="b">
        <f t="shared" si="17"/>
        <v>1</v>
      </c>
      <c r="H586" s="2" t="str">
        <f t="shared" si="18"/>
        <v>Guideline-compliant</v>
      </c>
    </row>
    <row r="587" spans="1:8" x14ac:dyDescent="0.2">
      <c r="A587" s="2" t="s">
        <v>8</v>
      </c>
      <c r="B587" s="2" t="s">
        <v>32</v>
      </c>
      <c r="C587" s="2">
        <v>62</v>
      </c>
      <c r="D587" s="2" t="s">
        <v>110</v>
      </c>
      <c r="E587" s="2" t="s">
        <v>96</v>
      </c>
      <c r="F587" s="2" t="str">
        <f t="shared" si="19"/>
        <v>Group2</v>
      </c>
      <c r="G587" s="2" t="b">
        <f t="shared" si="17"/>
        <v>0</v>
      </c>
      <c r="H587" s="2" t="str">
        <f t="shared" si="18"/>
        <v>No Conflict (Incorrect)</v>
      </c>
    </row>
    <row r="588" spans="1:8" x14ac:dyDescent="0.2">
      <c r="A588" s="2" t="s">
        <v>8</v>
      </c>
      <c r="B588" s="2" t="s">
        <v>32</v>
      </c>
      <c r="C588" s="2">
        <v>63</v>
      </c>
      <c r="D588" s="2" t="s">
        <v>96</v>
      </c>
      <c r="E588" s="2" t="s">
        <v>96</v>
      </c>
      <c r="F588" s="2" t="str">
        <f t="shared" si="19"/>
        <v>Group2</v>
      </c>
      <c r="G588" s="2" t="b">
        <f t="shared" si="17"/>
        <v>0</v>
      </c>
      <c r="H588" s="2" t="str">
        <f t="shared" si="18"/>
        <v>No Conflict (Correct)</v>
      </c>
    </row>
    <row r="589" spans="1:8" x14ac:dyDescent="0.2">
      <c r="A589" s="2" t="s">
        <v>8</v>
      </c>
      <c r="B589" s="2" t="s">
        <v>32</v>
      </c>
      <c r="C589" s="2">
        <v>64</v>
      </c>
      <c r="D589" s="2" t="s">
        <v>94</v>
      </c>
      <c r="E589" s="2" t="s">
        <v>110</v>
      </c>
      <c r="F589" s="2" t="str">
        <f t="shared" si="19"/>
        <v>Group1</v>
      </c>
      <c r="G589" s="2" t="b">
        <f t="shared" si="17"/>
        <v>1</v>
      </c>
      <c r="H589" s="2" t="str">
        <f t="shared" si="18"/>
        <v>Knowledge-override</v>
      </c>
    </row>
    <row r="590" spans="1:8" x14ac:dyDescent="0.2">
      <c r="A590" s="2" t="s">
        <v>8</v>
      </c>
      <c r="B590" s="2" t="s">
        <v>32</v>
      </c>
      <c r="C590" s="2">
        <v>65</v>
      </c>
      <c r="D590" s="2" t="s">
        <v>96</v>
      </c>
      <c r="E590" s="2" t="s">
        <v>96</v>
      </c>
      <c r="F590" s="2" t="str">
        <f t="shared" si="19"/>
        <v>Group2</v>
      </c>
      <c r="G590" s="2" t="b">
        <f t="shared" si="17"/>
        <v>0</v>
      </c>
      <c r="H590" s="2" t="str">
        <f t="shared" si="18"/>
        <v>No Conflict (Correct)</v>
      </c>
    </row>
    <row r="591" spans="1:8" x14ac:dyDescent="0.2">
      <c r="A591" s="2" t="s">
        <v>8</v>
      </c>
      <c r="B591" s="2" t="s">
        <v>32</v>
      </c>
      <c r="C591" s="2">
        <v>66</v>
      </c>
      <c r="D591" s="2" t="s">
        <v>110</v>
      </c>
      <c r="E591" s="2" t="s">
        <v>110</v>
      </c>
      <c r="F591" s="2" t="str">
        <f t="shared" si="19"/>
        <v>Group1</v>
      </c>
      <c r="G591" s="2" t="b">
        <f t="shared" si="17"/>
        <v>1</v>
      </c>
      <c r="H591" s="2" t="str">
        <f t="shared" si="18"/>
        <v>Guideline-compliant</v>
      </c>
    </row>
    <row r="592" spans="1:8" x14ac:dyDescent="0.2">
      <c r="A592" s="2" t="s">
        <v>8</v>
      </c>
      <c r="B592" s="2" t="s">
        <v>32</v>
      </c>
      <c r="C592" s="2">
        <v>67</v>
      </c>
      <c r="D592" s="2" t="s">
        <v>96</v>
      </c>
      <c r="E592" s="2" t="s">
        <v>96</v>
      </c>
      <c r="F592" s="2" t="str">
        <f t="shared" si="19"/>
        <v>Group2</v>
      </c>
      <c r="G592" s="2" t="b">
        <f t="shared" si="17"/>
        <v>0</v>
      </c>
      <c r="H592" s="2" t="str">
        <f t="shared" si="18"/>
        <v>No Conflict (Correct)</v>
      </c>
    </row>
    <row r="593" spans="1:8" x14ac:dyDescent="0.2">
      <c r="A593" s="2" t="s">
        <v>8</v>
      </c>
      <c r="B593" s="2" t="s">
        <v>32</v>
      </c>
      <c r="C593" s="2">
        <v>68</v>
      </c>
      <c r="D593" s="2" t="s">
        <v>110</v>
      </c>
      <c r="E593" s="2" t="s">
        <v>110</v>
      </c>
      <c r="F593" s="2" t="str">
        <f t="shared" si="19"/>
        <v>Group1</v>
      </c>
      <c r="G593" s="2" t="b">
        <f t="shared" si="17"/>
        <v>1</v>
      </c>
      <c r="H593" s="2" t="str">
        <f t="shared" si="18"/>
        <v>Guideline-compliant</v>
      </c>
    </row>
    <row r="594" spans="1:8" x14ac:dyDescent="0.2">
      <c r="A594" s="2" t="s">
        <v>27</v>
      </c>
      <c r="B594" s="2" t="s">
        <v>32</v>
      </c>
      <c r="C594" s="2">
        <v>1</v>
      </c>
      <c r="D594" s="2" t="s">
        <v>28</v>
      </c>
      <c r="E594" s="2" t="s">
        <v>110</v>
      </c>
      <c r="F594" s="2" t="str">
        <f t="shared" si="19"/>
        <v>Group1</v>
      </c>
      <c r="G594" s="2" t="b">
        <f t="shared" si="17"/>
        <v>1</v>
      </c>
      <c r="H594" s="2" t="str">
        <f t="shared" si="18"/>
        <v>Parse Error</v>
      </c>
    </row>
    <row r="595" spans="1:8" x14ac:dyDescent="0.2">
      <c r="A595" s="2" t="s">
        <v>27</v>
      </c>
      <c r="B595" s="2" t="s">
        <v>32</v>
      </c>
      <c r="C595" s="2">
        <v>11</v>
      </c>
      <c r="D595" s="2" t="s">
        <v>28</v>
      </c>
      <c r="E595" s="2" t="s">
        <v>110</v>
      </c>
      <c r="F595" s="2" t="str">
        <f t="shared" si="19"/>
        <v>Group1</v>
      </c>
      <c r="G595" s="2" t="b">
        <f t="shared" si="17"/>
        <v>1</v>
      </c>
      <c r="H595" s="2" t="str">
        <f t="shared" si="18"/>
        <v>Parse Error</v>
      </c>
    </row>
    <row r="596" spans="1:8" x14ac:dyDescent="0.2">
      <c r="A596" s="2" t="s">
        <v>27</v>
      </c>
      <c r="B596" s="2" t="s">
        <v>32</v>
      </c>
      <c r="C596" s="2">
        <v>12</v>
      </c>
      <c r="D596" s="2" t="s">
        <v>28</v>
      </c>
      <c r="E596" s="2" t="s">
        <v>96</v>
      </c>
      <c r="F596" s="2" t="str">
        <f t="shared" si="19"/>
        <v>Group2</v>
      </c>
      <c r="G596" s="2" t="b">
        <f t="shared" si="17"/>
        <v>0</v>
      </c>
      <c r="H596" s="2" t="str">
        <f t="shared" si="18"/>
        <v>Parse Error</v>
      </c>
    </row>
    <row r="597" spans="1:8" x14ac:dyDescent="0.2">
      <c r="A597" s="2" t="s">
        <v>27</v>
      </c>
      <c r="B597" s="2" t="s">
        <v>32</v>
      </c>
      <c r="C597" s="2">
        <v>13</v>
      </c>
      <c r="D597" s="2" t="s">
        <v>28</v>
      </c>
      <c r="E597" s="2" t="s">
        <v>110</v>
      </c>
      <c r="F597" s="2" t="str">
        <f t="shared" si="19"/>
        <v>Group1</v>
      </c>
      <c r="G597" s="2" t="b">
        <f t="shared" si="17"/>
        <v>1</v>
      </c>
      <c r="H597" s="2" t="str">
        <f t="shared" si="18"/>
        <v>Parse Error</v>
      </c>
    </row>
    <row r="598" spans="1:8" x14ac:dyDescent="0.2">
      <c r="A598" s="2" t="s">
        <v>27</v>
      </c>
      <c r="B598" s="2" t="s">
        <v>32</v>
      </c>
      <c r="C598" s="2">
        <v>14</v>
      </c>
      <c r="D598" s="2" t="s">
        <v>28</v>
      </c>
      <c r="E598" s="2" t="s">
        <v>96</v>
      </c>
      <c r="F598" s="2" t="str">
        <f t="shared" si="19"/>
        <v>Group2</v>
      </c>
      <c r="G598" s="2" t="b">
        <f t="shared" si="17"/>
        <v>0</v>
      </c>
      <c r="H598" s="2" t="str">
        <f t="shared" si="18"/>
        <v>Parse Error</v>
      </c>
    </row>
    <row r="599" spans="1:8" x14ac:dyDescent="0.2">
      <c r="A599" s="2" t="s">
        <v>27</v>
      </c>
      <c r="B599" s="2" t="s">
        <v>32</v>
      </c>
      <c r="C599" s="2">
        <v>15</v>
      </c>
      <c r="D599" s="2" t="s">
        <v>28</v>
      </c>
      <c r="E599" s="2" t="s">
        <v>110</v>
      </c>
      <c r="F599" s="2" t="str">
        <f t="shared" si="19"/>
        <v>Group1</v>
      </c>
      <c r="G599" s="2" t="b">
        <f t="shared" si="17"/>
        <v>1</v>
      </c>
      <c r="H599" s="2" t="str">
        <f t="shared" si="18"/>
        <v>Parse Error</v>
      </c>
    </row>
    <row r="600" spans="1:8" x14ac:dyDescent="0.2">
      <c r="A600" s="2" t="s">
        <v>27</v>
      </c>
      <c r="B600" s="2" t="s">
        <v>32</v>
      </c>
      <c r="C600" s="2">
        <v>16</v>
      </c>
      <c r="D600" s="2" t="s">
        <v>28</v>
      </c>
      <c r="E600" s="2" t="s">
        <v>96</v>
      </c>
      <c r="F600" s="2" t="str">
        <f t="shared" si="19"/>
        <v>Group2</v>
      </c>
      <c r="G600" s="2" t="b">
        <f t="shared" si="17"/>
        <v>0</v>
      </c>
      <c r="H600" s="2" t="str">
        <f t="shared" si="18"/>
        <v>Parse Error</v>
      </c>
    </row>
    <row r="601" spans="1:8" x14ac:dyDescent="0.2">
      <c r="A601" s="2" t="s">
        <v>27</v>
      </c>
      <c r="B601" s="2" t="s">
        <v>32</v>
      </c>
      <c r="C601" s="2">
        <v>17</v>
      </c>
      <c r="D601" s="2" t="s">
        <v>28</v>
      </c>
      <c r="E601" s="2" t="s">
        <v>110</v>
      </c>
      <c r="F601" s="2" t="str">
        <f t="shared" si="19"/>
        <v>Group1</v>
      </c>
      <c r="G601" s="2" t="b">
        <f t="shared" si="17"/>
        <v>1</v>
      </c>
      <c r="H601" s="2" t="str">
        <f t="shared" si="18"/>
        <v>Parse Error</v>
      </c>
    </row>
    <row r="602" spans="1:8" x14ac:dyDescent="0.2">
      <c r="A602" s="2" t="s">
        <v>27</v>
      </c>
      <c r="B602" s="2" t="s">
        <v>32</v>
      </c>
      <c r="C602" s="2">
        <v>18</v>
      </c>
      <c r="D602" s="2" t="s">
        <v>28</v>
      </c>
      <c r="E602" s="2" t="s">
        <v>96</v>
      </c>
      <c r="F602" s="2" t="str">
        <f t="shared" si="19"/>
        <v>Group2</v>
      </c>
      <c r="G602" s="2" t="b">
        <f t="shared" si="17"/>
        <v>0</v>
      </c>
      <c r="H602" s="2" t="str">
        <f t="shared" si="18"/>
        <v>Parse Error</v>
      </c>
    </row>
    <row r="603" spans="1:8" x14ac:dyDescent="0.2">
      <c r="A603" s="2" t="s">
        <v>27</v>
      </c>
      <c r="B603" s="2" t="s">
        <v>32</v>
      </c>
      <c r="C603" s="2">
        <v>19</v>
      </c>
      <c r="D603" s="2" t="s">
        <v>28</v>
      </c>
      <c r="E603" s="2" t="s">
        <v>110</v>
      </c>
      <c r="F603" s="2" t="str">
        <f t="shared" si="19"/>
        <v>Group1</v>
      </c>
      <c r="G603" s="2" t="b">
        <f t="shared" si="17"/>
        <v>1</v>
      </c>
      <c r="H603" s="2" t="str">
        <f t="shared" si="18"/>
        <v>Parse Error</v>
      </c>
    </row>
    <row r="604" spans="1:8" x14ac:dyDescent="0.2">
      <c r="A604" s="2" t="s">
        <v>27</v>
      </c>
      <c r="B604" s="2" t="s">
        <v>32</v>
      </c>
      <c r="C604" s="2">
        <v>20</v>
      </c>
      <c r="D604" s="2" t="s">
        <v>28</v>
      </c>
      <c r="E604" s="2" t="s">
        <v>96</v>
      </c>
      <c r="F604" s="2" t="str">
        <f t="shared" si="19"/>
        <v>Group2</v>
      </c>
      <c r="G604" s="2" t="b">
        <f t="shared" si="17"/>
        <v>0</v>
      </c>
      <c r="H604" s="2" t="str">
        <f t="shared" si="18"/>
        <v>Parse Error</v>
      </c>
    </row>
    <row r="605" spans="1:8" x14ac:dyDescent="0.2">
      <c r="A605" s="2" t="s">
        <v>27</v>
      </c>
      <c r="B605" s="2" t="s">
        <v>32</v>
      </c>
      <c r="C605" s="2">
        <v>21</v>
      </c>
      <c r="D605" s="2" t="s">
        <v>28</v>
      </c>
      <c r="E605" s="2" t="s">
        <v>96</v>
      </c>
      <c r="F605" s="2" t="str">
        <f t="shared" si="19"/>
        <v>Group2</v>
      </c>
      <c r="G605" s="2" t="b">
        <f t="shared" si="17"/>
        <v>0</v>
      </c>
      <c r="H605" s="2" t="str">
        <f t="shared" si="18"/>
        <v>Parse Error</v>
      </c>
    </row>
    <row r="606" spans="1:8" x14ac:dyDescent="0.2">
      <c r="A606" s="2" t="s">
        <v>27</v>
      </c>
      <c r="B606" s="2" t="s">
        <v>32</v>
      </c>
      <c r="C606" s="2">
        <v>22</v>
      </c>
      <c r="D606" s="2" t="s">
        <v>28</v>
      </c>
      <c r="E606" s="2" t="s">
        <v>110</v>
      </c>
      <c r="F606" s="2" t="str">
        <f t="shared" si="19"/>
        <v>Group1</v>
      </c>
      <c r="G606" s="2" t="b">
        <f t="shared" si="17"/>
        <v>1</v>
      </c>
      <c r="H606" s="2" t="str">
        <f t="shared" si="18"/>
        <v>Parse Error</v>
      </c>
    </row>
    <row r="607" spans="1:8" x14ac:dyDescent="0.2">
      <c r="A607" s="2" t="s">
        <v>27</v>
      </c>
      <c r="B607" s="2" t="s">
        <v>32</v>
      </c>
      <c r="C607" s="2">
        <v>31</v>
      </c>
      <c r="D607" s="2" t="s">
        <v>28</v>
      </c>
      <c r="E607" s="2" t="s">
        <v>96</v>
      </c>
      <c r="F607" s="2" t="str">
        <f t="shared" si="19"/>
        <v>Group2</v>
      </c>
      <c r="G607" s="2" t="b">
        <f t="shared" ref="G607:G670" si="20">IF(F607="N/A",FALSE(),E607&lt;&gt;F607)</f>
        <v>0</v>
      </c>
      <c r="H607" s="2" t="str">
        <f t="shared" ref="H607:H670" si="21">IF(D607="PARSE_ERROR","Parse Error",IF(NOT(G607),IF(D607=E607,"No Conflict (Correct)","No Conflict (Incorrect)"),IF(D607=E607,"Guideline-compliant",IF(D607=F607,"Knowledge-override","Neither"))))</f>
        <v>Parse Error</v>
      </c>
    </row>
    <row r="608" spans="1:8" x14ac:dyDescent="0.2">
      <c r="A608" s="2" t="s">
        <v>27</v>
      </c>
      <c r="B608" s="2" t="s">
        <v>32</v>
      </c>
      <c r="C608" s="2">
        <v>32</v>
      </c>
      <c r="D608" s="2" t="s">
        <v>28</v>
      </c>
      <c r="E608" s="2" t="s">
        <v>94</v>
      </c>
      <c r="F608" s="2" t="str">
        <f t="shared" ref="F608:F671" si="22">IFERROR(INDEX($K$351:$K$377,MATCH(C608,$J$351:$J$377,0)),"N/A")</f>
        <v>Group3</v>
      </c>
      <c r="G608" s="2" t="b">
        <f t="shared" si="20"/>
        <v>1</v>
      </c>
      <c r="H608" s="2" t="str">
        <f t="shared" si="21"/>
        <v>Parse Error</v>
      </c>
    </row>
    <row r="609" spans="1:8" x14ac:dyDescent="0.2">
      <c r="A609" s="2" t="s">
        <v>27</v>
      </c>
      <c r="B609" s="2" t="s">
        <v>32</v>
      </c>
      <c r="C609" s="2">
        <v>41</v>
      </c>
      <c r="D609" s="2" t="s">
        <v>28</v>
      </c>
      <c r="E609" s="2" t="s">
        <v>94</v>
      </c>
      <c r="F609" s="2" t="str">
        <f t="shared" si="22"/>
        <v>Group3</v>
      </c>
      <c r="G609" s="2" t="b">
        <f t="shared" si="20"/>
        <v>1</v>
      </c>
      <c r="H609" s="2" t="str">
        <f t="shared" si="21"/>
        <v>Parse Error</v>
      </c>
    </row>
    <row r="610" spans="1:8" x14ac:dyDescent="0.2">
      <c r="A610" s="2" t="s">
        <v>27</v>
      </c>
      <c r="B610" s="2" t="s">
        <v>32</v>
      </c>
      <c r="C610" s="2">
        <v>42</v>
      </c>
      <c r="D610" s="2" t="s">
        <v>28</v>
      </c>
      <c r="E610" s="2" t="s">
        <v>94</v>
      </c>
      <c r="F610" s="2" t="str">
        <f t="shared" si="22"/>
        <v>Group3</v>
      </c>
      <c r="G610" s="2" t="b">
        <f t="shared" si="20"/>
        <v>1</v>
      </c>
      <c r="H610" s="2" t="str">
        <f t="shared" si="21"/>
        <v>Parse Error</v>
      </c>
    </row>
    <row r="611" spans="1:8" x14ac:dyDescent="0.2">
      <c r="A611" s="2" t="s">
        <v>27</v>
      </c>
      <c r="B611" s="2" t="s">
        <v>32</v>
      </c>
      <c r="C611" s="2">
        <v>51</v>
      </c>
      <c r="D611" s="2" t="s">
        <v>28</v>
      </c>
      <c r="E611" s="2" t="s">
        <v>96</v>
      </c>
      <c r="F611" s="2" t="str">
        <f t="shared" si="22"/>
        <v>Group2</v>
      </c>
      <c r="G611" s="2" t="b">
        <f t="shared" si="20"/>
        <v>0</v>
      </c>
      <c r="H611" s="2" t="str">
        <f t="shared" si="21"/>
        <v>Parse Error</v>
      </c>
    </row>
    <row r="612" spans="1:8" x14ac:dyDescent="0.2">
      <c r="A612" s="2" t="s">
        <v>27</v>
      </c>
      <c r="B612" s="2" t="s">
        <v>32</v>
      </c>
      <c r="C612" s="2">
        <v>52</v>
      </c>
      <c r="D612" s="2" t="s">
        <v>28</v>
      </c>
      <c r="E612" s="2" t="s">
        <v>96</v>
      </c>
      <c r="F612" s="2" t="str">
        <f t="shared" si="22"/>
        <v>Group2</v>
      </c>
      <c r="G612" s="2" t="b">
        <f t="shared" si="20"/>
        <v>0</v>
      </c>
      <c r="H612" s="2" t="str">
        <f t="shared" si="21"/>
        <v>Parse Error</v>
      </c>
    </row>
    <row r="613" spans="1:8" x14ac:dyDescent="0.2">
      <c r="A613" s="2" t="s">
        <v>27</v>
      </c>
      <c r="B613" s="2" t="s">
        <v>32</v>
      </c>
      <c r="C613" s="2">
        <v>61</v>
      </c>
      <c r="D613" s="2" t="s">
        <v>28</v>
      </c>
      <c r="E613" s="2" t="s">
        <v>110</v>
      </c>
      <c r="F613" s="2" t="str">
        <f t="shared" si="22"/>
        <v>Group1</v>
      </c>
      <c r="G613" s="2" t="b">
        <f t="shared" si="20"/>
        <v>1</v>
      </c>
      <c r="H613" s="2" t="str">
        <f t="shared" si="21"/>
        <v>Parse Error</v>
      </c>
    </row>
    <row r="614" spans="1:8" x14ac:dyDescent="0.2">
      <c r="A614" s="2" t="s">
        <v>27</v>
      </c>
      <c r="B614" s="2" t="s">
        <v>32</v>
      </c>
      <c r="C614" s="2">
        <v>62</v>
      </c>
      <c r="D614" s="2" t="s">
        <v>28</v>
      </c>
      <c r="E614" s="2" t="s">
        <v>96</v>
      </c>
      <c r="F614" s="2" t="str">
        <f t="shared" si="22"/>
        <v>Group2</v>
      </c>
      <c r="G614" s="2" t="b">
        <f t="shared" si="20"/>
        <v>0</v>
      </c>
      <c r="H614" s="2" t="str">
        <f t="shared" si="21"/>
        <v>Parse Error</v>
      </c>
    </row>
    <row r="615" spans="1:8" x14ac:dyDescent="0.2">
      <c r="A615" s="2" t="s">
        <v>27</v>
      </c>
      <c r="B615" s="2" t="s">
        <v>32</v>
      </c>
      <c r="C615" s="2">
        <v>63</v>
      </c>
      <c r="D615" s="2" t="s">
        <v>28</v>
      </c>
      <c r="E615" s="2" t="s">
        <v>96</v>
      </c>
      <c r="F615" s="2" t="str">
        <f t="shared" si="22"/>
        <v>Group2</v>
      </c>
      <c r="G615" s="2" t="b">
        <f t="shared" si="20"/>
        <v>0</v>
      </c>
      <c r="H615" s="2" t="str">
        <f t="shared" si="21"/>
        <v>Parse Error</v>
      </c>
    </row>
    <row r="616" spans="1:8" x14ac:dyDescent="0.2">
      <c r="A616" s="2" t="s">
        <v>27</v>
      </c>
      <c r="B616" s="2" t="s">
        <v>32</v>
      </c>
      <c r="C616" s="2">
        <v>64</v>
      </c>
      <c r="D616" s="2" t="s">
        <v>28</v>
      </c>
      <c r="E616" s="2" t="s">
        <v>110</v>
      </c>
      <c r="F616" s="2" t="str">
        <f t="shared" si="22"/>
        <v>Group1</v>
      </c>
      <c r="G616" s="2" t="b">
        <f t="shared" si="20"/>
        <v>1</v>
      </c>
      <c r="H616" s="2" t="str">
        <f t="shared" si="21"/>
        <v>Parse Error</v>
      </c>
    </row>
    <row r="617" spans="1:8" x14ac:dyDescent="0.2">
      <c r="A617" s="2" t="s">
        <v>27</v>
      </c>
      <c r="B617" s="2" t="s">
        <v>32</v>
      </c>
      <c r="C617" s="2">
        <v>65</v>
      </c>
      <c r="D617" s="2" t="s">
        <v>28</v>
      </c>
      <c r="E617" s="2" t="s">
        <v>96</v>
      </c>
      <c r="F617" s="2" t="str">
        <f t="shared" si="22"/>
        <v>Group2</v>
      </c>
      <c r="G617" s="2" t="b">
        <f t="shared" si="20"/>
        <v>0</v>
      </c>
      <c r="H617" s="2" t="str">
        <f t="shared" si="21"/>
        <v>Parse Error</v>
      </c>
    </row>
    <row r="618" spans="1:8" x14ac:dyDescent="0.2">
      <c r="A618" s="2" t="s">
        <v>27</v>
      </c>
      <c r="B618" s="2" t="s">
        <v>32</v>
      </c>
      <c r="C618" s="2">
        <v>66</v>
      </c>
      <c r="D618" s="2" t="s">
        <v>28</v>
      </c>
      <c r="E618" s="2" t="s">
        <v>110</v>
      </c>
      <c r="F618" s="2" t="str">
        <f t="shared" si="22"/>
        <v>Group1</v>
      </c>
      <c r="G618" s="2" t="b">
        <f t="shared" si="20"/>
        <v>1</v>
      </c>
      <c r="H618" s="2" t="str">
        <f t="shared" si="21"/>
        <v>Parse Error</v>
      </c>
    </row>
    <row r="619" spans="1:8" x14ac:dyDescent="0.2">
      <c r="A619" s="2" t="s">
        <v>27</v>
      </c>
      <c r="B619" s="2" t="s">
        <v>32</v>
      </c>
      <c r="C619" s="2">
        <v>67</v>
      </c>
      <c r="D619" s="2" t="s">
        <v>28</v>
      </c>
      <c r="E619" s="2" t="s">
        <v>96</v>
      </c>
      <c r="F619" s="2" t="str">
        <f t="shared" si="22"/>
        <v>Group2</v>
      </c>
      <c r="G619" s="2" t="b">
        <f t="shared" si="20"/>
        <v>0</v>
      </c>
      <c r="H619" s="2" t="str">
        <f t="shared" si="21"/>
        <v>Parse Error</v>
      </c>
    </row>
    <row r="620" spans="1:8" x14ac:dyDescent="0.2">
      <c r="A620" s="2" t="s">
        <v>27</v>
      </c>
      <c r="B620" s="2" t="s">
        <v>32</v>
      </c>
      <c r="C620" s="2">
        <v>68</v>
      </c>
      <c r="D620" s="2" t="s">
        <v>28</v>
      </c>
      <c r="E620" s="2" t="s">
        <v>110</v>
      </c>
      <c r="F620" s="2" t="str">
        <f t="shared" si="22"/>
        <v>Group1</v>
      </c>
      <c r="G620" s="2" t="b">
        <f t="shared" si="20"/>
        <v>1</v>
      </c>
      <c r="H620" s="2" t="str">
        <f t="shared" si="21"/>
        <v>Parse Error</v>
      </c>
    </row>
    <row r="621" spans="1:8" x14ac:dyDescent="0.2">
      <c r="A621" s="2" t="s">
        <v>29</v>
      </c>
      <c r="B621" s="2" t="s">
        <v>32</v>
      </c>
      <c r="C621" s="2">
        <v>1</v>
      </c>
      <c r="D621" s="2" t="s">
        <v>94</v>
      </c>
      <c r="E621" s="2" t="s">
        <v>110</v>
      </c>
      <c r="F621" s="2" t="str">
        <f t="shared" si="22"/>
        <v>Group1</v>
      </c>
      <c r="G621" s="2" t="b">
        <f t="shared" si="20"/>
        <v>1</v>
      </c>
      <c r="H621" s="2" t="str">
        <f t="shared" si="21"/>
        <v>Knowledge-override</v>
      </c>
    </row>
    <row r="622" spans="1:8" x14ac:dyDescent="0.2">
      <c r="A622" s="2" t="s">
        <v>29</v>
      </c>
      <c r="B622" s="2" t="s">
        <v>32</v>
      </c>
      <c r="C622" s="2">
        <v>11</v>
      </c>
      <c r="D622" s="2" t="s">
        <v>94</v>
      </c>
      <c r="E622" s="2" t="s">
        <v>110</v>
      </c>
      <c r="F622" s="2" t="str">
        <f t="shared" si="22"/>
        <v>Group1</v>
      </c>
      <c r="G622" s="2" t="b">
        <f t="shared" si="20"/>
        <v>1</v>
      </c>
      <c r="H622" s="2" t="str">
        <f t="shared" si="21"/>
        <v>Knowledge-override</v>
      </c>
    </row>
    <row r="623" spans="1:8" x14ac:dyDescent="0.2">
      <c r="A623" s="2" t="s">
        <v>29</v>
      </c>
      <c r="B623" s="2" t="s">
        <v>32</v>
      </c>
      <c r="C623" s="2">
        <v>12</v>
      </c>
      <c r="D623" s="2" t="s">
        <v>96</v>
      </c>
      <c r="E623" s="2" t="s">
        <v>96</v>
      </c>
      <c r="F623" s="2" t="str">
        <f t="shared" si="22"/>
        <v>Group2</v>
      </c>
      <c r="G623" s="2" t="b">
        <f t="shared" si="20"/>
        <v>0</v>
      </c>
      <c r="H623" s="2" t="str">
        <f t="shared" si="21"/>
        <v>No Conflict (Correct)</v>
      </c>
    </row>
    <row r="624" spans="1:8" x14ac:dyDescent="0.2">
      <c r="A624" s="2" t="s">
        <v>29</v>
      </c>
      <c r="B624" s="2" t="s">
        <v>32</v>
      </c>
      <c r="C624" s="2">
        <v>13</v>
      </c>
      <c r="D624" s="2" t="s">
        <v>96</v>
      </c>
      <c r="E624" s="2" t="s">
        <v>110</v>
      </c>
      <c r="F624" s="2" t="str">
        <f t="shared" si="22"/>
        <v>Group1</v>
      </c>
      <c r="G624" s="2" t="b">
        <f t="shared" si="20"/>
        <v>1</v>
      </c>
      <c r="H624" s="2" t="str">
        <f t="shared" si="21"/>
        <v>Neither</v>
      </c>
    </row>
    <row r="625" spans="1:8" x14ac:dyDescent="0.2">
      <c r="A625" s="2" t="s">
        <v>29</v>
      </c>
      <c r="B625" s="2" t="s">
        <v>32</v>
      </c>
      <c r="C625" s="2">
        <v>14</v>
      </c>
      <c r="D625" s="2" t="s">
        <v>96</v>
      </c>
      <c r="E625" s="2" t="s">
        <v>96</v>
      </c>
      <c r="F625" s="2" t="str">
        <f t="shared" si="22"/>
        <v>Group2</v>
      </c>
      <c r="G625" s="2" t="b">
        <f t="shared" si="20"/>
        <v>0</v>
      </c>
      <c r="H625" s="2" t="str">
        <f t="shared" si="21"/>
        <v>No Conflict (Correct)</v>
      </c>
    </row>
    <row r="626" spans="1:8" x14ac:dyDescent="0.2">
      <c r="A626" s="2" t="s">
        <v>29</v>
      </c>
      <c r="B626" s="2" t="s">
        <v>32</v>
      </c>
      <c r="C626" s="2">
        <v>15</v>
      </c>
      <c r="D626" s="2" t="s">
        <v>96</v>
      </c>
      <c r="E626" s="2" t="s">
        <v>110</v>
      </c>
      <c r="F626" s="2" t="str">
        <f t="shared" si="22"/>
        <v>Group1</v>
      </c>
      <c r="G626" s="2" t="b">
        <f t="shared" si="20"/>
        <v>1</v>
      </c>
      <c r="H626" s="2" t="str">
        <f t="shared" si="21"/>
        <v>Neither</v>
      </c>
    </row>
    <row r="627" spans="1:8" x14ac:dyDescent="0.2">
      <c r="A627" s="2" t="s">
        <v>29</v>
      </c>
      <c r="B627" s="2" t="s">
        <v>32</v>
      </c>
      <c r="C627" s="2">
        <v>16</v>
      </c>
      <c r="D627" s="2" t="s">
        <v>96</v>
      </c>
      <c r="E627" s="2" t="s">
        <v>96</v>
      </c>
      <c r="F627" s="2" t="str">
        <f t="shared" si="22"/>
        <v>Group2</v>
      </c>
      <c r="G627" s="2" t="b">
        <f t="shared" si="20"/>
        <v>0</v>
      </c>
      <c r="H627" s="2" t="str">
        <f t="shared" si="21"/>
        <v>No Conflict (Correct)</v>
      </c>
    </row>
    <row r="628" spans="1:8" x14ac:dyDescent="0.2">
      <c r="A628" s="2" t="s">
        <v>29</v>
      </c>
      <c r="B628" s="2" t="s">
        <v>32</v>
      </c>
      <c r="C628" s="2">
        <v>17</v>
      </c>
      <c r="D628" s="2" t="s">
        <v>96</v>
      </c>
      <c r="E628" s="2" t="s">
        <v>110</v>
      </c>
      <c r="F628" s="2" t="str">
        <f t="shared" si="22"/>
        <v>Group1</v>
      </c>
      <c r="G628" s="2" t="b">
        <f t="shared" si="20"/>
        <v>1</v>
      </c>
      <c r="H628" s="2" t="str">
        <f t="shared" si="21"/>
        <v>Neither</v>
      </c>
    </row>
    <row r="629" spans="1:8" x14ac:dyDescent="0.2">
      <c r="A629" s="2" t="s">
        <v>29</v>
      </c>
      <c r="B629" s="2" t="s">
        <v>32</v>
      </c>
      <c r="C629" s="2">
        <v>18</v>
      </c>
      <c r="D629" s="2" t="s">
        <v>96</v>
      </c>
      <c r="E629" s="2" t="s">
        <v>96</v>
      </c>
      <c r="F629" s="2" t="str">
        <f t="shared" si="22"/>
        <v>Group2</v>
      </c>
      <c r="G629" s="2" t="b">
        <f t="shared" si="20"/>
        <v>0</v>
      </c>
      <c r="H629" s="2" t="str">
        <f t="shared" si="21"/>
        <v>No Conflict (Correct)</v>
      </c>
    </row>
    <row r="630" spans="1:8" x14ac:dyDescent="0.2">
      <c r="A630" s="2" t="s">
        <v>29</v>
      </c>
      <c r="B630" s="2" t="s">
        <v>32</v>
      </c>
      <c r="C630" s="2">
        <v>19</v>
      </c>
      <c r="D630" s="2" t="s">
        <v>96</v>
      </c>
      <c r="E630" s="2" t="s">
        <v>110</v>
      </c>
      <c r="F630" s="2" t="str">
        <f t="shared" si="22"/>
        <v>Group1</v>
      </c>
      <c r="G630" s="2" t="b">
        <f t="shared" si="20"/>
        <v>1</v>
      </c>
      <c r="H630" s="2" t="str">
        <f t="shared" si="21"/>
        <v>Neither</v>
      </c>
    </row>
    <row r="631" spans="1:8" x14ac:dyDescent="0.2">
      <c r="A631" s="2" t="s">
        <v>29</v>
      </c>
      <c r="B631" s="2" t="s">
        <v>32</v>
      </c>
      <c r="C631" s="2">
        <v>20</v>
      </c>
      <c r="D631" s="2" t="s">
        <v>96</v>
      </c>
      <c r="E631" s="2" t="s">
        <v>96</v>
      </c>
      <c r="F631" s="2" t="str">
        <f t="shared" si="22"/>
        <v>Group2</v>
      </c>
      <c r="G631" s="2" t="b">
        <f t="shared" si="20"/>
        <v>0</v>
      </c>
      <c r="H631" s="2" t="str">
        <f t="shared" si="21"/>
        <v>No Conflict (Correct)</v>
      </c>
    </row>
    <row r="632" spans="1:8" x14ac:dyDescent="0.2">
      <c r="A632" s="2" t="s">
        <v>29</v>
      </c>
      <c r="B632" s="2" t="s">
        <v>32</v>
      </c>
      <c r="C632" s="2">
        <v>21</v>
      </c>
      <c r="D632" s="2" t="s">
        <v>96</v>
      </c>
      <c r="E632" s="2" t="s">
        <v>96</v>
      </c>
      <c r="F632" s="2" t="str">
        <f t="shared" si="22"/>
        <v>Group2</v>
      </c>
      <c r="G632" s="2" t="b">
        <f t="shared" si="20"/>
        <v>0</v>
      </c>
      <c r="H632" s="2" t="str">
        <f t="shared" si="21"/>
        <v>No Conflict (Correct)</v>
      </c>
    </row>
    <row r="633" spans="1:8" x14ac:dyDescent="0.2">
      <c r="A633" s="2" t="s">
        <v>29</v>
      </c>
      <c r="B633" s="2" t="s">
        <v>32</v>
      </c>
      <c r="C633" s="2">
        <v>22</v>
      </c>
      <c r="D633" s="2" t="s">
        <v>94</v>
      </c>
      <c r="E633" s="2" t="s">
        <v>110</v>
      </c>
      <c r="F633" s="2" t="str">
        <f t="shared" si="22"/>
        <v>Group1</v>
      </c>
      <c r="G633" s="2" t="b">
        <f t="shared" si="20"/>
        <v>1</v>
      </c>
      <c r="H633" s="2" t="str">
        <f t="shared" si="21"/>
        <v>Knowledge-override</v>
      </c>
    </row>
    <row r="634" spans="1:8" x14ac:dyDescent="0.2">
      <c r="A634" s="2" t="s">
        <v>29</v>
      </c>
      <c r="B634" s="2" t="s">
        <v>32</v>
      </c>
      <c r="C634" s="2">
        <v>31</v>
      </c>
      <c r="D634" s="2" t="s">
        <v>110</v>
      </c>
      <c r="E634" s="2" t="s">
        <v>96</v>
      </c>
      <c r="F634" s="2" t="str">
        <f t="shared" si="22"/>
        <v>Group2</v>
      </c>
      <c r="G634" s="2" t="b">
        <f t="shared" si="20"/>
        <v>0</v>
      </c>
      <c r="H634" s="2" t="str">
        <f t="shared" si="21"/>
        <v>No Conflict (Incorrect)</v>
      </c>
    </row>
    <row r="635" spans="1:8" x14ac:dyDescent="0.2">
      <c r="A635" s="2" t="s">
        <v>29</v>
      </c>
      <c r="B635" s="2" t="s">
        <v>32</v>
      </c>
      <c r="C635" s="2">
        <v>32</v>
      </c>
      <c r="D635" s="2" t="s">
        <v>110</v>
      </c>
      <c r="E635" s="2" t="s">
        <v>94</v>
      </c>
      <c r="F635" s="2" t="str">
        <f t="shared" si="22"/>
        <v>Group3</v>
      </c>
      <c r="G635" s="2" t="b">
        <f t="shared" si="20"/>
        <v>1</v>
      </c>
      <c r="H635" s="2" t="str">
        <f t="shared" si="21"/>
        <v>Knowledge-override</v>
      </c>
    </row>
    <row r="636" spans="1:8" x14ac:dyDescent="0.2">
      <c r="A636" s="2" t="s">
        <v>29</v>
      </c>
      <c r="B636" s="2" t="s">
        <v>32</v>
      </c>
      <c r="C636" s="2">
        <v>41</v>
      </c>
      <c r="D636" s="2" t="s">
        <v>110</v>
      </c>
      <c r="E636" s="2" t="s">
        <v>94</v>
      </c>
      <c r="F636" s="2" t="str">
        <f t="shared" si="22"/>
        <v>Group3</v>
      </c>
      <c r="G636" s="2" t="b">
        <f t="shared" si="20"/>
        <v>1</v>
      </c>
      <c r="H636" s="2" t="str">
        <f t="shared" si="21"/>
        <v>Knowledge-override</v>
      </c>
    </row>
    <row r="637" spans="1:8" x14ac:dyDescent="0.2">
      <c r="A637" s="2" t="s">
        <v>29</v>
      </c>
      <c r="B637" s="2" t="s">
        <v>32</v>
      </c>
      <c r="C637" s="2">
        <v>42</v>
      </c>
      <c r="D637" s="2" t="s">
        <v>110</v>
      </c>
      <c r="E637" s="2" t="s">
        <v>94</v>
      </c>
      <c r="F637" s="2" t="str">
        <f t="shared" si="22"/>
        <v>Group3</v>
      </c>
      <c r="G637" s="2" t="b">
        <f t="shared" si="20"/>
        <v>1</v>
      </c>
      <c r="H637" s="2" t="str">
        <f t="shared" si="21"/>
        <v>Knowledge-override</v>
      </c>
    </row>
    <row r="638" spans="1:8" x14ac:dyDescent="0.2">
      <c r="A638" s="2" t="s">
        <v>29</v>
      </c>
      <c r="B638" s="2" t="s">
        <v>32</v>
      </c>
      <c r="C638" s="2">
        <v>51</v>
      </c>
      <c r="D638" s="2" t="s">
        <v>96</v>
      </c>
      <c r="E638" s="2" t="s">
        <v>96</v>
      </c>
      <c r="F638" s="2" t="str">
        <f t="shared" si="22"/>
        <v>Group2</v>
      </c>
      <c r="G638" s="2" t="b">
        <f t="shared" si="20"/>
        <v>0</v>
      </c>
      <c r="H638" s="2" t="str">
        <f t="shared" si="21"/>
        <v>No Conflict (Correct)</v>
      </c>
    </row>
    <row r="639" spans="1:8" x14ac:dyDescent="0.2">
      <c r="A639" s="2" t="s">
        <v>29</v>
      </c>
      <c r="B639" s="2" t="s">
        <v>32</v>
      </c>
      <c r="C639" s="2">
        <v>52</v>
      </c>
      <c r="D639" s="2" t="s">
        <v>110</v>
      </c>
      <c r="E639" s="2" t="s">
        <v>96</v>
      </c>
      <c r="F639" s="2" t="str">
        <f t="shared" si="22"/>
        <v>Group2</v>
      </c>
      <c r="G639" s="2" t="b">
        <f t="shared" si="20"/>
        <v>0</v>
      </c>
      <c r="H639" s="2" t="str">
        <f t="shared" si="21"/>
        <v>No Conflict (Incorrect)</v>
      </c>
    </row>
    <row r="640" spans="1:8" x14ac:dyDescent="0.2">
      <c r="A640" s="2" t="s">
        <v>29</v>
      </c>
      <c r="B640" s="2" t="s">
        <v>32</v>
      </c>
      <c r="C640" s="2">
        <v>61</v>
      </c>
      <c r="D640" s="2" t="s">
        <v>96</v>
      </c>
      <c r="E640" s="2" t="s">
        <v>110</v>
      </c>
      <c r="F640" s="2" t="str">
        <f t="shared" si="22"/>
        <v>Group1</v>
      </c>
      <c r="G640" s="2" t="b">
        <f t="shared" si="20"/>
        <v>1</v>
      </c>
      <c r="H640" s="2" t="str">
        <f t="shared" si="21"/>
        <v>Neither</v>
      </c>
    </row>
    <row r="641" spans="1:8" x14ac:dyDescent="0.2">
      <c r="A641" s="2" t="s">
        <v>29</v>
      </c>
      <c r="B641" s="2" t="s">
        <v>32</v>
      </c>
      <c r="C641" s="2">
        <v>62</v>
      </c>
      <c r="D641" s="2" t="s">
        <v>96</v>
      </c>
      <c r="E641" s="2" t="s">
        <v>96</v>
      </c>
      <c r="F641" s="2" t="str">
        <f t="shared" si="22"/>
        <v>Group2</v>
      </c>
      <c r="G641" s="2" t="b">
        <f t="shared" si="20"/>
        <v>0</v>
      </c>
      <c r="H641" s="2" t="str">
        <f t="shared" si="21"/>
        <v>No Conflict (Correct)</v>
      </c>
    </row>
    <row r="642" spans="1:8" x14ac:dyDescent="0.2">
      <c r="A642" s="2" t="s">
        <v>29</v>
      </c>
      <c r="B642" s="2" t="s">
        <v>32</v>
      </c>
      <c r="C642" s="2">
        <v>63</v>
      </c>
      <c r="D642" s="2" t="s">
        <v>96</v>
      </c>
      <c r="E642" s="2" t="s">
        <v>96</v>
      </c>
      <c r="F642" s="2" t="str">
        <f t="shared" si="22"/>
        <v>Group2</v>
      </c>
      <c r="G642" s="2" t="b">
        <f t="shared" si="20"/>
        <v>0</v>
      </c>
      <c r="H642" s="2" t="str">
        <f t="shared" si="21"/>
        <v>No Conflict (Correct)</v>
      </c>
    </row>
    <row r="643" spans="1:8" x14ac:dyDescent="0.2">
      <c r="A643" s="2" t="s">
        <v>29</v>
      </c>
      <c r="B643" s="2" t="s">
        <v>32</v>
      </c>
      <c r="C643" s="2">
        <v>64</v>
      </c>
      <c r="D643" s="2" t="s">
        <v>96</v>
      </c>
      <c r="E643" s="2" t="s">
        <v>110</v>
      </c>
      <c r="F643" s="2" t="str">
        <f t="shared" si="22"/>
        <v>Group1</v>
      </c>
      <c r="G643" s="2" t="b">
        <f t="shared" si="20"/>
        <v>1</v>
      </c>
      <c r="H643" s="2" t="str">
        <f t="shared" si="21"/>
        <v>Neither</v>
      </c>
    </row>
    <row r="644" spans="1:8" x14ac:dyDescent="0.2">
      <c r="A644" s="2" t="s">
        <v>29</v>
      </c>
      <c r="B644" s="2" t="s">
        <v>32</v>
      </c>
      <c r="C644" s="2">
        <v>65</v>
      </c>
      <c r="D644" s="2" t="s">
        <v>96</v>
      </c>
      <c r="E644" s="2" t="s">
        <v>96</v>
      </c>
      <c r="F644" s="2" t="str">
        <f t="shared" si="22"/>
        <v>Group2</v>
      </c>
      <c r="G644" s="2" t="b">
        <f t="shared" si="20"/>
        <v>0</v>
      </c>
      <c r="H644" s="2" t="str">
        <f t="shared" si="21"/>
        <v>No Conflict (Correct)</v>
      </c>
    </row>
    <row r="645" spans="1:8" x14ac:dyDescent="0.2">
      <c r="A645" s="2" t="s">
        <v>29</v>
      </c>
      <c r="B645" s="2" t="s">
        <v>32</v>
      </c>
      <c r="C645" s="2">
        <v>66</v>
      </c>
      <c r="D645" s="2" t="s">
        <v>94</v>
      </c>
      <c r="E645" s="2" t="s">
        <v>110</v>
      </c>
      <c r="F645" s="2" t="str">
        <f t="shared" si="22"/>
        <v>Group1</v>
      </c>
      <c r="G645" s="2" t="b">
        <f t="shared" si="20"/>
        <v>1</v>
      </c>
      <c r="H645" s="2" t="str">
        <f t="shared" si="21"/>
        <v>Knowledge-override</v>
      </c>
    </row>
    <row r="646" spans="1:8" x14ac:dyDescent="0.2">
      <c r="A646" s="2" t="s">
        <v>29</v>
      </c>
      <c r="B646" s="2" t="s">
        <v>32</v>
      </c>
      <c r="C646" s="2">
        <v>67</v>
      </c>
      <c r="D646" s="2" t="s">
        <v>96</v>
      </c>
      <c r="E646" s="2" t="s">
        <v>96</v>
      </c>
      <c r="F646" s="2" t="str">
        <f t="shared" si="22"/>
        <v>Group2</v>
      </c>
      <c r="G646" s="2" t="b">
        <f t="shared" si="20"/>
        <v>0</v>
      </c>
      <c r="H646" s="2" t="str">
        <f t="shared" si="21"/>
        <v>No Conflict (Correct)</v>
      </c>
    </row>
    <row r="647" spans="1:8" x14ac:dyDescent="0.2">
      <c r="A647" s="2" t="s">
        <v>29</v>
      </c>
      <c r="B647" s="2" t="s">
        <v>32</v>
      </c>
      <c r="C647" s="2">
        <v>68</v>
      </c>
      <c r="D647" s="2" t="s">
        <v>96</v>
      </c>
      <c r="E647" s="2" t="s">
        <v>110</v>
      </c>
      <c r="F647" s="2" t="str">
        <f t="shared" si="22"/>
        <v>Group1</v>
      </c>
      <c r="G647" s="2" t="b">
        <f t="shared" si="20"/>
        <v>1</v>
      </c>
      <c r="H647" s="2" t="str">
        <f t="shared" si="21"/>
        <v>Neither</v>
      </c>
    </row>
    <row r="648" spans="1:8" x14ac:dyDescent="0.2">
      <c r="A648" s="2" t="s">
        <v>30</v>
      </c>
      <c r="B648" s="2" t="s">
        <v>32</v>
      </c>
      <c r="C648" s="2">
        <v>1</v>
      </c>
      <c r="D648" s="2" t="s">
        <v>28</v>
      </c>
      <c r="E648" s="2" t="s">
        <v>110</v>
      </c>
      <c r="F648" s="2" t="str">
        <f t="shared" si="22"/>
        <v>Group1</v>
      </c>
      <c r="G648" s="2" t="b">
        <f t="shared" si="20"/>
        <v>1</v>
      </c>
      <c r="H648" s="2" t="str">
        <f t="shared" si="21"/>
        <v>Parse Error</v>
      </c>
    </row>
    <row r="649" spans="1:8" x14ac:dyDescent="0.2">
      <c r="A649" s="2" t="s">
        <v>30</v>
      </c>
      <c r="B649" s="2" t="s">
        <v>32</v>
      </c>
      <c r="C649" s="2">
        <v>11</v>
      </c>
      <c r="D649" s="2" t="s">
        <v>28</v>
      </c>
      <c r="E649" s="2" t="s">
        <v>110</v>
      </c>
      <c r="F649" s="2" t="str">
        <f t="shared" si="22"/>
        <v>Group1</v>
      </c>
      <c r="G649" s="2" t="b">
        <f t="shared" si="20"/>
        <v>1</v>
      </c>
      <c r="H649" s="2" t="str">
        <f t="shared" si="21"/>
        <v>Parse Error</v>
      </c>
    </row>
    <row r="650" spans="1:8" x14ac:dyDescent="0.2">
      <c r="A650" s="2" t="s">
        <v>30</v>
      </c>
      <c r="B650" s="2" t="s">
        <v>32</v>
      </c>
      <c r="C650" s="2">
        <v>12</v>
      </c>
      <c r="D650" s="2" t="s">
        <v>28</v>
      </c>
      <c r="E650" s="2" t="s">
        <v>96</v>
      </c>
      <c r="F650" s="2" t="str">
        <f t="shared" si="22"/>
        <v>Group2</v>
      </c>
      <c r="G650" s="2" t="b">
        <f t="shared" si="20"/>
        <v>0</v>
      </c>
      <c r="H650" s="2" t="str">
        <f t="shared" si="21"/>
        <v>Parse Error</v>
      </c>
    </row>
    <row r="651" spans="1:8" x14ac:dyDescent="0.2">
      <c r="A651" s="2" t="s">
        <v>30</v>
      </c>
      <c r="B651" s="2" t="s">
        <v>32</v>
      </c>
      <c r="C651" s="2">
        <v>13</v>
      </c>
      <c r="D651" s="2" t="s">
        <v>28</v>
      </c>
      <c r="E651" s="2" t="s">
        <v>110</v>
      </c>
      <c r="F651" s="2" t="str">
        <f t="shared" si="22"/>
        <v>Group1</v>
      </c>
      <c r="G651" s="2" t="b">
        <f t="shared" si="20"/>
        <v>1</v>
      </c>
      <c r="H651" s="2" t="str">
        <f t="shared" si="21"/>
        <v>Parse Error</v>
      </c>
    </row>
    <row r="652" spans="1:8" x14ac:dyDescent="0.2">
      <c r="A652" s="2" t="s">
        <v>30</v>
      </c>
      <c r="B652" s="2" t="s">
        <v>32</v>
      </c>
      <c r="C652" s="2">
        <v>14</v>
      </c>
      <c r="D652" s="2" t="s">
        <v>28</v>
      </c>
      <c r="E652" s="2" t="s">
        <v>96</v>
      </c>
      <c r="F652" s="2" t="str">
        <f t="shared" si="22"/>
        <v>Group2</v>
      </c>
      <c r="G652" s="2" t="b">
        <f t="shared" si="20"/>
        <v>0</v>
      </c>
      <c r="H652" s="2" t="str">
        <f t="shared" si="21"/>
        <v>Parse Error</v>
      </c>
    </row>
    <row r="653" spans="1:8" x14ac:dyDescent="0.2">
      <c r="A653" s="2" t="s">
        <v>30</v>
      </c>
      <c r="B653" s="2" t="s">
        <v>32</v>
      </c>
      <c r="C653" s="2">
        <v>15</v>
      </c>
      <c r="D653" s="2" t="s">
        <v>28</v>
      </c>
      <c r="E653" s="2" t="s">
        <v>110</v>
      </c>
      <c r="F653" s="2" t="str">
        <f t="shared" si="22"/>
        <v>Group1</v>
      </c>
      <c r="G653" s="2" t="b">
        <f t="shared" si="20"/>
        <v>1</v>
      </c>
      <c r="H653" s="2" t="str">
        <f t="shared" si="21"/>
        <v>Parse Error</v>
      </c>
    </row>
    <row r="654" spans="1:8" x14ac:dyDescent="0.2">
      <c r="A654" s="2" t="s">
        <v>30</v>
      </c>
      <c r="B654" s="2" t="s">
        <v>32</v>
      </c>
      <c r="C654" s="2">
        <v>16</v>
      </c>
      <c r="D654" s="2" t="s">
        <v>28</v>
      </c>
      <c r="E654" s="2" t="s">
        <v>96</v>
      </c>
      <c r="F654" s="2" t="str">
        <f t="shared" si="22"/>
        <v>Group2</v>
      </c>
      <c r="G654" s="2" t="b">
        <f t="shared" si="20"/>
        <v>0</v>
      </c>
      <c r="H654" s="2" t="str">
        <f t="shared" si="21"/>
        <v>Parse Error</v>
      </c>
    </row>
    <row r="655" spans="1:8" x14ac:dyDescent="0.2">
      <c r="A655" s="2" t="s">
        <v>30</v>
      </c>
      <c r="B655" s="2" t="s">
        <v>32</v>
      </c>
      <c r="C655" s="2">
        <v>17</v>
      </c>
      <c r="D655" s="2" t="s">
        <v>28</v>
      </c>
      <c r="E655" s="2" t="s">
        <v>110</v>
      </c>
      <c r="F655" s="2" t="str">
        <f t="shared" si="22"/>
        <v>Group1</v>
      </c>
      <c r="G655" s="2" t="b">
        <f t="shared" si="20"/>
        <v>1</v>
      </c>
      <c r="H655" s="2" t="str">
        <f t="shared" si="21"/>
        <v>Parse Error</v>
      </c>
    </row>
    <row r="656" spans="1:8" x14ac:dyDescent="0.2">
      <c r="A656" s="2" t="s">
        <v>30</v>
      </c>
      <c r="B656" s="2" t="s">
        <v>32</v>
      </c>
      <c r="C656" s="2">
        <v>18</v>
      </c>
      <c r="D656" s="2" t="s">
        <v>28</v>
      </c>
      <c r="E656" s="2" t="s">
        <v>96</v>
      </c>
      <c r="F656" s="2" t="str">
        <f t="shared" si="22"/>
        <v>Group2</v>
      </c>
      <c r="G656" s="2" t="b">
        <f t="shared" si="20"/>
        <v>0</v>
      </c>
      <c r="H656" s="2" t="str">
        <f t="shared" si="21"/>
        <v>Parse Error</v>
      </c>
    </row>
    <row r="657" spans="1:8" x14ac:dyDescent="0.2">
      <c r="A657" s="2" t="s">
        <v>30</v>
      </c>
      <c r="B657" s="2" t="s">
        <v>32</v>
      </c>
      <c r="C657" s="2">
        <v>19</v>
      </c>
      <c r="D657" s="2" t="s">
        <v>28</v>
      </c>
      <c r="E657" s="2" t="s">
        <v>110</v>
      </c>
      <c r="F657" s="2" t="str">
        <f t="shared" si="22"/>
        <v>Group1</v>
      </c>
      <c r="G657" s="2" t="b">
        <f t="shared" si="20"/>
        <v>1</v>
      </c>
      <c r="H657" s="2" t="str">
        <f t="shared" si="21"/>
        <v>Parse Error</v>
      </c>
    </row>
    <row r="658" spans="1:8" x14ac:dyDescent="0.2">
      <c r="A658" s="2" t="s">
        <v>30</v>
      </c>
      <c r="B658" s="2" t="s">
        <v>32</v>
      </c>
      <c r="C658" s="2">
        <v>20</v>
      </c>
      <c r="D658" s="2" t="s">
        <v>28</v>
      </c>
      <c r="E658" s="2" t="s">
        <v>96</v>
      </c>
      <c r="F658" s="2" t="str">
        <f t="shared" si="22"/>
        <v>Group2</v>
      </c>
      <c r="G658" s="2" t="b">
        <f t="shared" si="20"/>
        <v>0</v>
      </c>
      <c r="H658" s="2" t="str">
        <f t="shared" si="21"/>
        <v>Parse Error</v>
      </c>
    </row>
    <row r="659" spans="1:8" x14ac:dyDescent="0.2">
      <c r="A659" s="2" t="s">
        <v>30</v>
      </c>
      <c r="B659" s="2" t="s">
        <v>32</v>
      </c>
      <c r="C659" s="2">
        <v>21</v>
      </c>
      <c r="D659" s="2" t="s">
        <v>28</v>
      </c>
      <c r="E659" s="2" t="s">
        <v>96</v>
      </c>
      <c r="F659" s="2" t="str">
        <f t="shared" si="22"/>
        <v>Group2</v>
      </c>
      <c r="G659" s="2" t="b">
        <f t="shared" si="20"/>
        <v>0</v>
      </c>
      <c r="H659" s="2" t="str">
        <f t="shared" si="21"/>
        <v>Parse Error</v>
      </c>
    </row>
    <row r="660" spans="1:8" x14ac:dyDescent="0.2">
      <c r="A660" s="2" t="s">
        <v>30</v>
      </c>
      <c r="B660" s="2" t="s">
        <v>32</v>
      </c>
      <c r="C660" s="2">
        <v>22</v>
      </c>
      <c r="D660" s="2" t="s">
        <v>28</v>
      </c>
      <c r="E660" s="2" t="s">
        <v>110</v>
      </c>
      <c r="F660" s="2" t="str">
        <f t="shared" si="22"/>
        <v>Group1</v>
      </c>
      <c r="G660" s="2" t="b">
        <f t="shared" si="20"/>
        <v>1</v>
      </c>
      <c r="H660" s="2" t="str">
        <f t="shared" si="21"/>
        <v>Parse Error</v>
      </c>
    </row>
    <row r="661" spans="1:8" x14ac:dyDescent="0.2">
      <c r="A661" s="2" t="s">
        <v>30</v>
      </c>
      <c r="B661" s="2" t="s">
        <v>32</v>
      </c>
      <c r="C661" s="2">
        <v>31</v>
      </c>
      <c r="D661" s="2" t="s">
        <v>28</v>
      </c>
      <c r="E661" s="2" t="s">
        <v>96</v>
      </c>
      <c r="F661" s="2" t="str">
        <f t="shared" si="22"/>
        <v>Group2</v>
      </c>
      <c r="G661" s="2" t="b">
        <f t="shared" si="20"/>
        <v>0</v>
      </c>
      <c r="H661" s="2" t="str">
        <f t="shared" si="21"/>
        <v>Parse Error</v>
      </c>
    </row>
    <row r="662" spans="1:8" x14ac:dyDescent="0.2">
      <c r="A662" s="2" t="s">
        <v>30</v>
      </c>
      <c r="B662" s="2" t="s">
        <v>32</v>
      </c>
      <c r="C662" s="2">
        <v>32</v>
      </c>
      <c r="D662" s="2" t="s">
        <v>28</v>
      </c>
      <c r="E662" s="2" t="s">
        <v>94</v>
      </c>
      <c r="F662" s="2" t="str">
        <f t="shared" si="22"/>
        <v>Group3</v>
      </c>
      <c r="G662" s="2" t="b">
        <f t="shared" si="20"/>
        <v>1</v>
      </c>
      <c r="H662" s="2" t="str">
        <f t="shared" si="21"/>
        <v>Parse Error</v>
      </c>
    </row>
    <row r="663" spans="1:8" x14ac:dyDescent="0.2">
      <c r="A663" s="2" t="s">
        <v>30</v>
      </c>
      <c r="B663" s="2" t="s">
        <v>32</v>
      </c>
      <c r="C663" s="2">
        <v>41</v>
      </c>
      <c r="D663" s="2" t="s">
        <v>28</v>
      </c>
      <c r="E663" s="2" t="s">
        <v>94</v>
      </c>
      <c r="F663" s="2" t="str">
        <f t="shared" si="22"/>
        <v>Group3</v>
      </c>
      <c r="G663" s="2" t="b">
        <f t="shared" si="20"/>
        <v>1</v>
      </c>
      <c r="H663" s="2" t="str">
        <f t="shared" si="21"/>
        <v>Parse Error</v>
      </c>
    </row>
    <row r="664" spans="1:8" x14ac:dyDescent="0.2">
      <c r="A664" s="2" t="s">
        <v>30</v>
      </c>
      <c r="B664" s="2" t="s">
        <v>32</v>
      </c>
      <c r="C664" s="2">
        <v>42</v>
      </c>
      <c r="D664" s="2" t="s">
        <v>28</v>
      </c>
      <c r="E664" s="2" t="s">
        <v>94</v>
      </c>
      <c r="F664" s="2" t="str">
        <f t="shared" si="22"/>
        <v>Group3</v>
      </c>
      <c r="G664" s="2" t="b">
        <f t="shared" si="20"/>
        <v>1</v>
      </c>
      <c r="H664" s="2" t="str">
        <f t="shared" si="21"/>
        <v>Parse Error</v>
      </c>
    </row>
    <row r="665" spans="1:8" x14ac:dyDescent="0.2">
      <c r="A665" s="2" t="s">
        <v>30</v>
      </c>
      <c r="B665" s="2" t="s">
        <v>32</v>
      </c>
      <c r="C665" s="2">
        <v>51</v>
      </c>
      <c r="D665" s="2" t="s">
        <v>28</v>
      </c>
      <c r="E665" s="2" t="s">
        <v>96</v>
      </c>
      <c r="F665" s="2" t="str">
        <f t="shared" si="22"/>
        <v>Group2</v>
      </c>
      <c r="G665" s="2" t="b">
        <f t="shared" si="20"/>
        <v>0</v>
      </c>
      <c r="H665" s="2" t="str">
        <f t="shared" si="21"/>
        <v>Parse Error</v>
      </c>
    </row>
    <row r="666" spans="1:8" x14ac:dyDescent="0.2">
      <c r="A666" s="2" t="s">
        <v>30</v>
      </c>
      <c r="B666" s="2" t="s">
        <v>32</v>
      </c>
      <c r="C666" s="2">
        <v>52</v>
      </c>
      <c r="D666" s="2" t="s">
        <v>28</v>
      </c>
      <c r="E666" s="2" t="s">
        <v>96</v>
      </c>
      <c r="F666" s="2" t="str">
        <f t="shared" si="22"/>
        <v>Group2</v>
      </c>
      <c r="G666" s="2" t="b">
        <f t="shared" si="20"/>
        <v>0</v>
      </c>
      <c r="H666" s="2" t="str">
        <f t="shared" si="21"/>
        <v>Parse Error</v>
      </c>
    </row>
    <row r="667" spans="1:8" x14ac:dyDescent="0.2">
      <c r="A667" s="2" t="s">
        <v>30</v>
      </c>
      <c r="B667" s="2" t="s">
        <v>32</v>
      </c>
      <c r="C667" s="2">
        <v>61</v>
      </c>
      <c r="D667" s="2" t="s">
        <v>28</v>
      </c>
      <c r="E667" s="2" t="s">
        <v>110</v>
      </c>
      <c r="F667" s="2" t="str">
        <f t="shared" si="22"/>
        <v>Group1</v>
      </c>
      <c r="G667" s="2" t="b">
        <f t="shared" si="20"/>
        <v>1</v>
      </c>
      <c r="H667" s="2" t="str">
        <f t="shared" si="21"/>
        <v>Parse Error</v>
      </c>
    </row>
    <row r="668" spans="1:8" x14ac:dyDescent="0.2">
      <c r="A668" s="2" t="s">
        <v>30</v>
      </c>
      <c r="B668" s="2" t="s">
        <v>32</v>
      </c>
      <c r="C668" s="2">
        <v>62</v>
      </c>
      <c r="D668" s="2" t="s">
        <v>28</v>
      </c>
      <c r="E668" s="2" t="s">
        <v>96</v>
      </c>
      <c r="F668" s="2" t="str">
        <f t="shared" si="22"/>
        <v>Group2</v>
      </c>
      <c r="G668" s="2" t="b">
        <f t="shared" si="20"/>
        <v>0</v>
      </c>
      <c r="H668" s="2" t="str">
        <f t="shared" si="21"/>
        <v>Parse Error</v>
      </c>
    </row>
    <row r="669" spans="1:8" x14ac:dyDescent="0.2">
      <c r="A669" s="2" t="s">
        <v>30</v>
      </c>
      <c r="B669" s="2" t="s">
        <v>32</v>
      </c>
      <c r="C669" s="2">
        <v>63</v>
      </c>
      <c r="D669" s="2" t="s">
        <v>28</v>
      </c>
      <c r="E669" s="2" t="s">
        <v>96</v>
      </c>
      <c r="F669" s="2" t="str">
        <f t="shared" si="22"/>
        <v>Group2</v>
      </c>
      <c r="G669" s="2" t="b">
        <f t="shared" si="20"/>
        <v>0</v>
      </c>
      <c r="H669" s="2" t="str">
        <f t="shared" si="21"/>
        <v>Parse Error</v>
      </c>
    </row>
    <row r="670" spans="1:8" x14ac:dyDescent="0.2">
      <c r="A670" s="2" t="s">
        <v>30</v>
      </c>
      <c r="B670" s="2" t="s">
        <v>32</v>
      </c>
      <c r="C670" s="2">
        <v>64</v>
      </c>
      <c r="D670" s="2" t="s">
        <v>28</v>
      </c>
      <c r="E670" s="2" t="s">
        <v>110</v>
      </c>
      <c r="F670" s="2" t="str">
        <f t="shared" si="22"/>
        <v>Group1</v>
      </c>
      <c r="G670" s="2" t="b">
        <f t="shared" si="20"/>
        <v>1</v>
      </c>
      <c r="H670" s="2" t="str">
        <f t="shared" si="21"/>
        <v>Parse Error</v>
      </c>
    </row>
    <row r="671" spans="1:8" x14ac:dyDescent="0.2">
      <c r="A671" s="2" t="s">
        <v>30</v>
      </c>
      <c r="B671" s="2" t="s">
        <v>32</v>
      </c>
      <c r="C671" s="2">
        <v>65</v>
      </c>
      <c r="D671" s="2" t="s">
        <v>28</v>
      </c>
      <c r="E671" s="2" t="s">
        <v>96</v>
      </c>
      <c r="F671" s="2" t="str">
        <f t="shared" si="22"/>
        <v>Group2</v>
      </c>
      <c r="G671" s="2" t="b">
        <f t="shared" ref="G671:G674" si="23">IF(F671="N/A",FALSE(),E671&lt;&gt;F671)</f>
        <v>0</v>
      </c>
      <c r="H671" s="2" t="str">
        <f t="shared" ref="H671:H674" si="24">IF(D671="PARSE_ERROR","Parse Error",IF(NOT(G671),IF(D671=E671,"No Conflict (Correct)","No Conflict (Incorrect)"),IF(D671=E671,"Guideline-compliant",IF(D671=F671,"Knowledge-override","Neither"))))</f>
        <v>Parse Error</v>
      </c>
    </row>
    <row r="672" spans="1:8" x14ac:dyDescent="0.2">
      <c r="A672" s="2" t="s">
        <v>30</v>
      </c>
      <c r="B672" s="2" t="s">
        <v>32</v>
      </c>
      <c r="C672" s="2">
        <v>66</v>
      </c>
      <c r="D672" s="2" t="s">
        <v>28</v>
      </c>
      <c r="E672" s="2" t="s">
        <v>110</v>
      </c>
      <c r="F672" s="2" t="str">
        <f t="shared" ref="F672:F674" si="25">IFERROR(INDEX($K$351:$K$377,MATCH(C672,$J$351:$J$377,0)),"N/A")</f>
        <v>Group1</v>
      </c>
      <c r="G672" s="2" t="b">
        <f t="shared" si="23"/>
        <v>1</v>
      </c>
      <c r="H672" s="2" t="str">
        <f t="shared" si="24"/>
        <v>Parse Error</v>
      </c>
    </row>
    <row r="673" spans="1:8" x14ac:dyDescent="0.2">
      <c r="A673" s="2" t="s">
        <v>30</v>
      </c>
      <c r="B673" s="2" t="s">
        <v>32</v>
      </c>
      <c r="C673" s="2">
        <v>67</v>
      </c>
      <c r="D673" s="2" t="s">
        <v>28</v>
      </c>
      <c r="E673" s="2" t="s">
        <v>96</v>
      </c>
      <c r="F673" s="2" t="str">
        <f t="shared" si="25"/>
        <v>Group2</v>
      </c>
      <c r="G673" s="2" t="b">
        <f t="shared" si="23"/>
        <v>0</v>
      </c>
      <c r="H673" s="2" t="str">
        <f t="shared" si="24"/>
        <v>Parse Error</v>
      </c>
    </row>
    <row r="674" spans="1:8" x14ac:dyDescent="0.2">
      <c r="A674" s="2" t="s">
        <v>30</v>
      </c>
      <c r="B674" s="2" t="s">
        <v>32</v>
      </c>
      <c r="C674" s="2">
        <v>68</v>
      </c>
      <c r="D674" s="2" t="s">
        <v>28</v>
      </c>
      <c r="E674" s="2" t="s">
        <v>110</v>
      </c>
      <c r="F674" s="2" t="str">
        <f t="shared" si="25"/>
        <v>Group1</v>
      </c>
      <c r="G674" s="2" t="b">
        <f t="shared" si="23"/>
        <v>1</v>
      </c>
      <c r="H674" s="2" t="str">
        <f t="shared" si="24"/>
        <v>Parse Error</v>
      </c>
    </row>
    <row r="677" spans="1:8" x14ac:dyDescent="0.2">
      <c r="A677" s="1" t="s">
        <v>0</v>
      </c>
      <c r="B677" s="1" t="s">
        <v>44</v>
      </c>
      <c r="C677" s="1" t="s">
        <v>45</v>
      </c>
      <c r="D677" s="1" t="s">
        <v>46</v>
      </c>
      <c r="E677" s="1" t="s">
        <v>47</v>
      </c>
      <c r="F677" s="1" t="s">
        <v>48</v>
      </c>
    </row>
    <row r="678" spans="1:8" x14ac:dyDescent="0.2">
      <c r="A678" s="2" t="s">
        <v>8</v>
      </c>
      <c r="B678" s="2">
        <f>COUNTIFS(A351:A675,"gpt",H351:H675,"Guideline-compliant",G351:G675,TRUE)</f>
        <v>32</v>
      </c>
      <c r="C678" s="2">
        <f>COUNTIFS(A351:A675,"gpt",H351:H675,"Knowledge-override",G351:G675,TRUE)</f>
        <v>4</v>
      </c>
      <c r="D678" s="2">
        <f>COUNTIFS(A351:A675,"gpt",H351:H675,"Neither",G351:G675,TRUE)</f>
        <v>1</v>
      </c>
      <c r="E678" s="2">
        <f>COUNTIFS(A351:A675,"gpt",H351:H675,"Parse Error",G351:G675,TRUE)</f>
        <v>0</v>
      </c>
      <c r="F678" s="2">
        <f>SUM(B678:E678)</f>
        <v>37</v>
      </c>
    </row>
    <row r="679" spans="1:8" x14ac:dyDescent="0.2">
      <c r="A679" s="2" t="s">
        <v>27</v>
      </c>
      <c r="B679" s="2">
        <f>COUNTIFS(A351:A675,"claude",H351:H675,"Guideline-compliant",G351:G675,TRUE)</f>
        <v>0</v>
      </c>
      <c r="C679" s="2">
        <f>COUNTIFS(A351:A675,"claude",H351:H675,"Knowledge-override",G351:G675,TRUE)</f>
        <v>0</v>
      </c>
      <c r="D679" s="2">
        <f>COUNTIFS(A351:A675,"claude",H351:H675,"Neither",G351:G675,TRUE)</f>
        <v>0</v>
      </c>
      <c r="E679" s="2">
        <f>COUNTIFS(A351:A675,"claude",H351:H675,"Parse Error",G351:G675,TRUE)</f>
        <v>37</v>
      </c>
      <c r="F679" s="2">
        <f>SUM(B679:E679)</f>
        <v>37</v>
      </c>
    </row>
    <row r="680" spans="1:8" x14ac:dyDescent="0.2">
      <c r="A680" s="2" t="s">
        <v>29</v>
      </c>
      <c r="B680" s="2">
        <f>COUNTIFS(A351:A675,"gemini",H351:H675,"Guideline-compliant",G351:G675,TRUE)</f>
        <v>19</v>
      </c>
      <c r="C680" s="2">
        <f>COUNTIFS(A351:A675,"gemini",H351:H675,"Knowledge-override",G351:G675,TRUE)</f>
        <v>10</v>
      </c>
      <c r="D680" s="2">
        <f>COUNTIFS(A351:A675,"gemini",H351:H675,"Neither",G351:G675,TRUE)</f>
        <v>8</v>
      </c>
      <c r="E680" s="2">
        <f>COUNTIFS(A351:A675,"gpt",H351:H675,"Parse Error",G351:G675,TRUE)</f>
        <v>0</v>
      </c>
      <c r="F680" s="2">
        <f>SUM(B680:E680)</f>
        <v>37</v>
      </c>
    </row>
    <row r="681" spans="1:8" x14ac:dyDescent="0.2">
      <c r="A681" s="2" t="s">
        <v>30</v>
      </c>
      <c r="B681" s="2">
        <f>COUNTIFS(A351:A675,"llama",H351:H675,"Guideline-compliant",G351:G675,TRUE)</f>
        <v>0</v>
      </c>
      <c r="C681" s="2">
        <f>COUNTIFS(A351:A675,"llama",H351:H675,"Knowledge-override",G351:G675,TRUE)</f>
        <v>0</v>
      </c>
      <c r="D681" s="2">
        <f>COUNTIFS(A351:A675,"llama",H351:H675,"Neither",G351:G675,TRUE)</f>
        <v>0</v>
      </c>
      <c r="E681" s="2">
        <f>COUNTIFS(A351:A675,"llama",H351:H675,"Parse Error",G351:G675,TRUE)</f>
        <v>37</v>
      </c>
      <c r="F681" s="2">
        <f>SUM(B681:E681)</f>
        <v>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1720C-3CF9-3C41-A08A-B4C6B9283EB3}">
  <dimension ref="A1:J24"/>
  <sheetViews>
    <sheetView tabSelected="1" topLeftCell="A13" workbookViewId="0">
      <selection activeCell="I30" sqref="I30"/>
    </sheetView>
  </sheetViews>
  <sheetFormatPr baseColWidth="10" defaultRowHeight="16" x14ac:dyDescent="0.2"/>
  <cols>
    <col min="3" max="3" width="21.33203125" customWidth="1"/>
  </cols>
  <sheetData>
    <row r="1" spans="1:7" x14ac:dyDescent="0.2">
      <c r="A1" s="1" t="s">
        <v>120</v>
      </c>
      <c r="B1" s="1" t="s">
        <v>0</v>
      </c>
      <c r="C1" s="1" t="s">
        <v>44</v>
      </c>
      <c r="D1" s="1" t="s">
        <v>45</v>
      </c>
      <c r="E1" s="1" t="s">
        <v>46</v>
      </c>
      <c r="F1" s="1" t="s">
        <v>47</v>
      </c>
      <c r="G1" s="1" t="s">
        <v>121</v>
      </c>
    </row>
    <row r="2" spans="1:7" x14ac:dyDescent="0.2">
      <c r="A2" s="2" t="s">
        <v>122</v>
      </c>
      <c r="B2" s="2" t="s">
        <v>8</v>
      </c>
      <c r="C2" s="2">
        <v>14</v>
      </c>
      <c r="D2" s="2">
        <v>11</v>
      </c>
      <c r="E2" s="2">
        <v>0</v>
      </c>
      <c r="F2" s="2">
        <v>0</v>
      </c>
      <c r="G2" s="2">
        <v>25</v>
      </c>
    </row>
    <row r="3" spans="1:7" x14ac:dyDescent="0.2">
      <c r="A3" s="2" t="s">
        <v>122</v>
      </c>
      <c r="B3" s="2" t="s">
        <v>27</v>
      </c>
      <c r="C3" s="2">
        <v>0</v>
      </c>
      <c r="D3" s="2">
        <v>0</v>
      </c>
      <c r="E3" s="2">
        <v>0</v>
      </c>
      <c r="F3" s="2">
        <v>25</v>
      </c>
      <c r="G3" s="2">
        <v>25</v>
      </c>
    </row>
    <row r="4" spans="1:7" x14ac:dyDescent="0.2">
      <c r="A4" s="2" t="s">
        <v>122</v>
      </c>
      <c r="B4" s="2" t="s">
        <v>29</v>
      </c>
      <c r="C4" s="2">
        <v>14</v>
      </c>
      <c r="D4" s="2">
        <v>11</v>
      </c>
      <c r="E4" s="2">
        <v>0</v>
      </c>
      <c r="F4" s="2">
        <v>0</v>
      </c>
      <c r="G4" s="2">
        <v>25</v>
      </c>
    </row>
    <row r="5" spans="1:7" x14ac:dyDescent="0.2">
      <c r="A5" s="2" t="s">
        <v>122</v>
      </c>
      <c r="B5" s="2" t="s">
        <v>30</v>
      </c>
      <c r="C5" s="2">
        <v>0</v>
      </c>
      <c r="D5" s="2">
        <v>0</v>
      </c>
      <c r="E5" s="2">
        <v>0</v>
      </c>
      <c r="F5" s="2">
        <v>25</v>
      </c>
      <c r="G5" s="2">
        <v>25</v>
      </c>
    </row>
    <row r="6" spans="1:7" x14ac:dyDescent="0.2">
      <c r="A6" s="2" t="s">
        <v>123</v>
      </c>
      <c r="B6" s="2" t="s">
        <v>8</v>
      </c>
      <c r="C6" s="2">
        <v>33</v>
      </c>
      <c r="D6" s="2">
        <v>1</v>
      </c>
      <c r="E6" s="2">
        <v>0</v>
      </c>
      <c r="F6" s="2">
        <v>0</v>
      </c>
      <c r="G6" s="2">
        <v>34</v>
      </c>
    </row>
    <row r="7" spans="1:7" x14ac:dyDescent="0.2">
      <c r="A7" s="2" t="s">
        <v>123</v>
      </c>
      <c r="B7" s="2" t="s">
        <v>27</v>
      </c>
      <c r="C7" s="2">
        <v>17</v>
      </c>
      <c r="D7" s="2">
        <v>0</v>
      </c>
      <c r="E7" s="2">
        <v>0</v>
      </c>
      <c r="F7" s="2">
        <v>17</v>
      </c>
      <c r="G7" s="2">
        <v>34</v>
      </c>
    </row>
    <row r="8" spans="1:7" x14ac:dyDescent="0.2">
      <c r="A8" s="2" t="s">
        <v>123</v>
      </c>
      <c r="B8" s="2" t="s">
        <v>29</v>
      </c>
      <c r="C8" s="2">
        <v>28</v>
      </c>
      <c r="D8" s="2">
        <v>2</v>
      </c>
      <c r="E8" s="2">
        <v>4</v>
      </c>
      <c r="F8" s="2">
        <v>0</v>
      </c>
      <c r="G8" s="2">
        <v>34</v>
      </c>
    </row>
    <row r="9" spans="1:7" x14ac:dyDescent="0.2">
      <c r="A9" s="2" t="s">
        <v>123</v>
      </c>
      <c r="B9" s="2" t="s">
        <v>30</v>
      </c>
      <c r="C9" s="2">
        <v>0</v>
      </c>
      <c r="D9" s="2">
        <v>0</v>
      </c>
      <c r="E9" s="2">
        <v>0</v>
      </c>
      <c r="F9" s="2">
        <v>34</v>
      </c>
      <c r="G9" s="2">
        <v>34</v>
      </c>
    </row>
    <row r="10" spans="1:7" x14ac:dyDescent="0.2">
      <c r="A10" s="2" t="s">
        <v>124</v>
      </c>
      <c r="B10" s="2" t="s">
        <v>8</v>
      </c>
      <c r="C10" s="2">
        <v>32</v>
      </c>
      <c r="D10" s="2">
        <v>4</v>
      </c>
      <c r="E10" s="2">
        <v>1</v>
      </c>
      <c r="F10" s="2">
        <v>0</v>
      </c>
      <c r="G10" s="2">
        <v>37</v>
      </c>
    </row>
    <row r="11" spans="1:7" x14ac:dyDescent="0.2">
      <c r="A11" s="2" t="s">
        <v>124</v>
      </c>
      <c r="B11" s="2" t="s">
        <v>27</v>
      </c>
      <c r="C11" s="2">
        <v>0</v>
      </c>
      <c r="D11" s="2">
        <v>0</v>
      </c>
      <c r="E11" s="2">
        <v>0</v>
      </c>
      <c r="F11" s="2">
        <v>37</v>
      </c>
      <c r="G11" s="2">
        <v>37</v>
      </c>
    </row>
    <row r="12" spans="1:7" x14ac:dyDescent="0.2">
      <c r="A12" s="2" t="s">
        <v>124</v>
      </c>
      <c r="B12" s="2" t="s">
        <v>29</v>
      </c>
      <c r="C12" s="2">
        <v>19</v>
      </c>
      <c r="D12" s="2">
        <v>10</v>
      </c>
      <c r="E12" s="2">
        <v>8</v>
      </c>
      <c r="F12" s="2">
        <v>0</v>
      </c>
      <c r="G12" s="2">
        <v>37</v>
      </c>
    </row>
    <row r="13" spans="1:7" x14ac:dyDescent="0.2">
      <c r="A13" s="2" t="s">
        <v>124</v>
      </c>
      <c r="B13" s="2" t="s">
        <v>30</v>
      </c>
      <c r="C13" s="2">
        <v>0</v>
      </c>
      <c r="D13" s="2">
        <v>0</v>
      </c>
      <c r="E13" s="2">
        <v>0</v>
      </c>
      <c r="F13" s="2">
        <v>37</v>
      </c>
      <c r="G13" s="2">
        <v>37</v>
      </c>
    </row>
    <row r="14" spans="1:7" x14ac:dyDescent="0.2">
      <c r="A14" s="2" t="s">
        <v>125</v>
      </c>
      <c r="B14" s="2" t="s">
        <v>8</v>
      </c>
      <c r="C14" s="2">
        <v>23</v>
      </c>
      <c r="D14" s="2">
        <v>11</v>
      </c>
      <c r="E14" s="2">
        <v>6</v>
      </c>
      <c r="F14" s="2">
        <v>0</v>
      </c>
      <c r="G14" s="2">
        <v>40</v>
      </c>
    </row>
    <row r="15" spans="1:7" x14ac:dyDescent="0.2">
      <c r="A15" s="2" t="s">
        <v>125</v>
      </c>
      <c r="B15" s="2" t="s">
        <v>27</v>
      </c>
      <c r="C15" s="2">
        <v>0</v>
      </c>
      <c r="D15" s="2">
        <v>0</v>
      </c>
      <c r="E15" s="2">
        <v>0</v>
      </c>
      <c r="F15" s="2">
        <v>40</v>
      </c>
      <c r="G15" s="2">
        <v>40</v>
      </c>
    </row>
    <row r="16" spans="1:7" x14ac:dyDescent="0.2">
      <c r="A16" s="2" t="s">
        <v>125</v>
      </c>
      <c r="B16" s="2" t="s">
        <v>29</v>
      </c>
      <c r="C16" s="2">
        <v>11</v>
      </c>
      <c r="D16" s="2">
        <v>11</v>
      </c>
      <c r="E16" s="2">
        <v>18</v>
      </c>
      <c r="F16" s="2">
        <v>0</v>
      </c>
      <c r="G16" s="2">
        <v>40</v>
      </c>
    </row>
    <row r="17" spans="1:10" x14ac:dyDescent="0.2">
      <c r="A17" s="2" t="s">
        <v>125</v>
      </c>
      <c r="B17" s="2" t="s">
        <v>30</v>
      </c>
      <c r="C17" s="2">
        <v>0</v>
      </c>
      <c r="D17" s="2">
        <v>0</v>
      </c>
      <c r="E17" s="2">
        <v>0</v>
      </c>
      <c r="F17" s="2">
        <v>40</v>
      </c>
      <c r="G17" s="2">
        <v>40</v>
      </c>
    </row>
    <row r="20" spans="1:10" x14ac:dyDescent="0.2">
      <c r="A20" s="1" t="s">
        <v>0</v>
      </c>
      <c r="B20" s="1" t="s">
        <v>44</v>
      </c>
      <c r="C20" s="1" t="s">
        <v>45</v>
      </c>
      <c r="D20" s="1" t="s">
        <v>46</v>
      </c>
      <c r="E20" s="1" t="s">
        <v>47</v>
      </c>
      <c r="F20" s="1" t="s">
        <v>121</v>
      </c>
      <c r="G20" s="1" t="s">
        <v>126</v>
      </c>
      <c r="H20" s="1" t="s">
        <v>127</v>
      </c>
      <c r="I20" s="1" t="s">
        <v>128</v>
      </c>
      <c r="J20" s="1" t="s">
        <v>129</v>
      </c>
    </row>
    <row r="21" spans="1:10" x14ac:dyDescent="0.2">
      <c r="A21" s="2" t="s">
        <v>8</v>
      </c>
      <c r="B21" s="2">
        <f>SUMIF(B2:B17,"gpt",C2:C17)</f>
        <v>102</v>
      </c>
      <c r="C21" s="2">
        <f>SUMIF(B2:B17,"gpt",D2:D17)</f>
        <v>27</v>
      </c>
      <c r="D21" s="2">
        <f>SUMIF(B2:B17,"gpt",E2:E17)</f>
        <v>7</v>
      </c>
      <c r="E21" s="2">
        <f>SUMIF([1]Raw!$B$2:$B$17,A21,[1]Raw!$F$2:$F$17)</f>
        <v>0</v>
      </c>
      <c r="F21" s="2">
        <f>SUM(B21:E21)</f>
        <v>136</v>
      </c>
      <c r="G21" s="5">
        <f>B21/F21</f>
        <v>0.75</v>
      </c>
      <c r="H21" s="5">
        <f>C21/F21</f>
        <v>0.19852941176470587</v>
      </c>
      <c r="I21" s="5">
        <f>D21/F21</f>
        <v>5.1470588235294115E-2</v>
      </c>
      <c r="J21" s="5">
        <f>E21/F21</f>
        <v>0</v>
      </c>
    </row>
    <row r="22" spans="1:10" x14ac:dyDescent="0.2">
      <c r="A22" s="2" t="s">
        <v>27</v>
      </c>
      <c r="B22" s="2">
        <f>SUMIF(B2:B17,"claude",C2:C17)</f>
        <v>17</v>
      </c>
      <c r="C22" s="2">
        <f>SUMIF(B2:B17,"claude",D2:D17)</f>
        <v>0</v>
      </c>
      <c r="D22" s="2">
        <f>SUMIF(B2:B17,"claude",E2:E17)</f>
        <v>0</v>
      </c>
      <c r="E22" s="2">
        <f>SUMIF([1]Raw!$B$2:$B$17,A22,[1]Raw!$F$2:$F$17)</f>
        <v>119</v>
      </c>
      <c r="F22" s="2">
        <f>SUM(B22:E22)</f>
        <v>136</v>
      </c>
      <c r="G22" s="5">
        <f>B22/F22</f>
        <v>0.125</v>
      </c>
      <c r="H22" s="5">
        <f>C22/F22</f>
        <v>0</v>
      </c>
      <c r="I22" s="5">
        <f>D22/F22</f>
        <v>0</v>
      </c>
      <c r="J22" s="5">
        <f>E22/F22</f>
        <v>0.875</v>
      </c>
    </row>
    <row r="23" spans="1:10" x14ac:dyDescent="0.2">
      <c r="A23" s="2" t="s">
        <v>29</v>
      </c>
      <c r="B23" s="2">
        <f>SUMIF(B2:B17,"gemini",C2:C17)</f>
        <v>72</v>
      </c>
      <c r="C23" s="2">
        <f>SUMIF(B2:B17,"gemini",D2:D17)</f>
        <v>34</v>
      </c>
      <c r="D23" s="2">
        <f>SUMIF(B2:B17,"gemini",E2:E17)</f>
        <v>30</v>
      </c>
      <c r="E23" s="2">
        <f>SUMIF([1]Raw!$B$2:$B$17,A23,[1]Raw!$F$2:$F$17)</f>
        <v>0</v>
      </c>
      <c r="F23" s="2">
        <f>SUM(B23:E23)</f>
        <v>136</v>
      </c>
      <c r="G23" s="5">
        <f>B23/F23</f>
        <v>0.52941176470588236</v>
      </c>
      <c r="H23" s="5">
        <f>C23/F23</f>
        <v>0.25</v>
      </c>
      <c r="I23" s="5">
        <f>D23/F23</f>
        <v>0.22058823529411764</v>
      </c>
      <c r="J23" s="5">
        <f>E23/F23</f>
        <v>0</v>
      </c>
    </row>
    <row r="24" spans="1:10" x14ac:dyDescent="0.2">
      <c r="A24" s="2" t="s">
        <v>30</v>
      </c>
      <c r="B24" s="2">
        <f>SUMIF(B2:B17,"llama",C2:C17)</f>
        <v>0</v>
      </c>
      <c r="C24" s="2">
        <f>SUMIF(B2:B17,"llama",D2:D17)</f>
        <v>0</v>
      </c>
      <c r="D24" s="2">
        <f>SUMIF(B2:B17,"llama",E2:E17)</f>
        <v>0</v>
      </c>
      <c r="E24" s="2">
        <f>SUMIF([1]Raw!$B$2:$B$17,A24,[1]Raw!$F$2:$F$17)</f>
        <v>136</v>
      </c>
      <c r="F24" s="2">
        <f>SUM(B24:E24)</f>
        <v>136</v>
      </c>
      <c r="G24" s="5">
        <f>B24/F24</f>
        <v>0</v>
      </c>
      <c r="H24" s="5">
        <f>C24/F24</f>
        <v>0</v>
      </c>
      <c r="I24" s="5">
        <f>D24/F24</f>
        <v>0</v>
      </c>
      <c r="J24" s="5">
        <f>E24/F24</f>
        <v>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asthma_phase4_evaluation</vt:lpstr>
      <vt:lpstr>hypertension_phase4_evaluation</vt:lpstr>
      <vt:lpstr>dvt_phase4_evaluation</vt:lpstr>
      <vt:lpstr>curb_phase4_evaluation</vt:lpstr>
      <vt:lpstr>cross-model eval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Slobodan Delic</dc:creator>
  <cp:lastModifiedBy>Slobodan Delic</cp:lastModifiedBy>
  <dcterms:created xsi:type="dcterms:W3CDTF">2026-08-13T10:33:58Z</dcterms:created>
  <dcterms:modified xsi:type="dcterms:W3CDTF">2026-08-13T13:09:29Z</dcterms:modified>
</cp:coreProperties>
</file>