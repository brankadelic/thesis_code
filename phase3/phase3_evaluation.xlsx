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brankadelic/Desktop/"/>
    </mc:Choice>
  </mc:AlternateContent>
  <xr:revisionPtr revIDLastSave="0" documentId="8_{AC22BB2C-18BD-AB49-B5DB-E26B09F53136}" xr6:coauthVersionLast="47" xr6:coauthVersionMax="47" xr10:uidLastSave="{00000000-0000-0000-0000-000000000000}"/>
  <bookViews>
    <workbookView xWindow="760" yWindow="760" windowWidth="25880" windowHeight="17580" tabRatio="500" activeTab="4" xr2:uid="{00000000-000D-0000-FFFF-FFFF00000000}"/>
  </bookViews>
  <sheets>
    <sheet name="asthma_eval" sheetId="1" r:id="rId1"/>
    <sheet name="hypertension_eval" sheetId="4" r:id="rId2"/>
    <sheet name="curb_eval" sheetId="5" r:id="rId3"/>
    <sheet name="dvt_eval" sheetId="6" r:id="rId4"/>
    <sheet name="final_eval" sheetId="7" r:id="rId5"/>
  </sheets>
  <externalReferences>
    <externalReference r:id="rId6"/>
    <externalReference r:id="rId7"/>
    <externalReference r:id="rId8"/>
  </externalReferences>
  <definedNames>
    <definedName name="_xlchart.v2.0" hidden="1">final_eval!$A$21</definedName>
    <definedName name="_xlchart.v2.1" hidden="1">final_eval!$A$22</definedName>
    <definedName name="_xlchart.v2.10" hidden="1">final_eval!$J$20</definedName>
    <definedName name="_xlchart.v2.11" hidden="1">final_eval!$J$21:$J$24</definedName>
    <definedName name="_xlchart.v2.12" hidden="1">final_eval!$K$20</definedName>
    <definedName name="_xlchart.v2.13" hidden="1">final_eval!$K$21:$K$24</definedName>
    <definedName name="_xlchart.v2.14" hidden="1">final_eval!$L$20</definedName>
    <definedName name="_xlchart.v2.15" hidden="1">final_eval!$L$21:$L$24</definedName>
    <definedName name="_xlchart.v2.16" hidden="1">final_eval!$M$20</definedName>
    <definedName name="_xlchart.v2.17" hidden="1">final_eval!$M$21:$M$24</definedName>
    <definedName name="_xlchart.v2.2" hidden="1">final_eval!$A$23</definedName>
    <definedName name="_xlchart.v2.3" hidden="1">final_eval!$A$24</definedName>
    <definedName name="_xlchart.v2.4" hidden="1">final_eval!$J$20:$M$20</definedName>
    <definedName name="_xlchart.v2.5" hidden="1">final_eval!$J$21:$M$21</definedName>
    <definedName name="_xlchart.v2.6" hidden="1">final_eval!$J$22:$M$22</definedName>
    <definedName name="_xlchart.v2.7" hidden="1">final_eval!$J$23:$M$23</definedName>
    <definedName name="_xlchart.v2.8" hidden="1">final_eval!$J$24:$M$24</definedName>
    <definedName name="_xlchart.v2.9" hidden="1">final_eval!$A$21:$A$24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1" i="7" l="1"/>
  <c r="I22" i="7"/>
  <c r="I23" i="7"/>
  <c r="I24" i="7"/>
  <c r="I21" i="7"/>
  <c r="E22" i="7"/>
  <c r="E23" i="7"/>
  <c r="E24" i="7"/>
  <c r="E21" i="7"/>
  <c r="H22" i="7"/>
  <c r="H23" i="7"/>
  <c r="H24" i="7"/>
  <c r="H21" i="7"/>
  <c r="D22" i="7"/>
  <c r="D23" i="7"/>
  <c r="L23" i="7" s="1"/>
  <c r="D24" i="7"/>
  <c r="D21" i="7"/>
  <c r="G22" i="7"/>
  <c r="G23" i="7"/>
  <c r="G24" i="7"/>
  <c r="G21" i="7"/>
  <c r="C22" i="7"/>
  <c r="C23" i="7"/>
  <c r="C24" i="7"/>
  <c r="C21" i="7"/>
  <c r="F22" i="7"/>
  <c r="F23" i="7"/>
  <c r="F24" i="7"/>
  <c r="J21" i="7"/>
  <c r="B22" i="7"/>
  <c r="B23" i="7"/>
  <c r="B24" i="7"/>
  <c r="B21" i="7"/>
  <c r="K24" i="7"/>
  <c r="J24" i="7"/>
  <c r="L24" i="7"/>
  <c r="M23" i="7"/>
  <c r="J23" i="7"/>
  <c r="K23" i="7"/>
  <c r="K22" i="7"/>
  <c r="M22" i="7"/>
  <c r="L22" i="7"/>
  <c r="M21" i="7"/>
  <c r="L21" i="7"/>
  <c r="K21" i="7"/>
  <c r="F203" i="6"/>
  <c r="E203" i="6"/>
  <c r="D203" i="6"/>
  <c r="C203" i="6"/>
  <c r="H203" i="6" s="1"/>
  <c r="B203" i="6"/>
  <c r="F202" i="6"/>
  <c r="E202" i="6"/>
  <c r="D202" i="6"/>
  <c r="C202" i="6"/>
  <c r="H202" i="6" s="1"/>
  <c r="B202" i="6"/>
  <c r="H201" i="6"/>
  <c r="F201" i="6"/>
  <c r="E201" i="6"/>
  <c r="D201" i="6"/>
  <c r="C201" i="6"/>
  <c r="G201" i="6" s="1"/>
  <c r="B201" i="6"/>
  <c r="F200" i="6"/>
  <c r="E200" i="6"/>
  <c r="H200" i="6" s="1"/>
  <c r="D200" i="6"/>
  <c r="C200" i="6"/>
  <c r="B200" i="6"/>
  <c r="F199" i="6"/>
  <c r="E199" i="6"/>
  <c r="D199" i="6"/>
  <c r="C199" i="6"/>
  <c r="H199" i="6" s="1"/>
  <c r="B199" i="6"/>
  <c r="G199" i="6" s="1"/>
  <c r="F198" i="6"/>
  <c r="E198" i="6"/>
  <c r="D198" i="6"/>
  <c r="C198" i="6"/>
  <c r="H198" i="6" s="1"/>
  <c r="B198" i="6"/>
  <c r="G198" i="6" s="1"/>
  <c r="F197" i="6"/>
  <c r="H197" i="6" s="1"/>
  <c r="E197" i="6"/>
  <c r="D197" i="6"/>
  <c r="C197" i="6"/>
  <c r="B197" i="6"/>
  <c r="G197" i="6" s="1"/>
  <c r="F196" i="6"/>
  <c r="E196" i="6"/>
  <c r="D196" i="6"/>
  <c r="C196" i="6"/>
  <c r="G196" i="6" s="1"/>
  <c r="B196" i="6"/>
  <c r="F195" i="6"/>
  <c r="E195" i="6"/>
  <c r="D195" i="6"/>
  <c r="C195" i="6"/>
  <c r="H195" i="6" s="1"/>
  <c r="B195" i="6"/>
  <c r="G194" i="6"/>
  <c r="F194" i="6"/>
  <c r="E194" i="6"/>
  <c r="D194" i="6"/>
  <c r="C194" i="6"/>
  <c r="H194" i="6" s="1"/>
  <c r="B194" i="6"/>
  <c r="F193" i="6"/>
  <c r="E193" i="6"/>
  <c r="D193" i="6"/>
  <c r="H193" i="6" s="1"/>
  <c r="C193" i="6"/>
  <c r="B193" i="6"/>
  <c r="F192" i="6"/>
  <c r="E192" i="6"/>
  <c r="D192" i="6"/>
  <c r="C192" i="6"/>
  <c r="H192" i="6" s="1"/>
  <c r="B192" i="6"/>
  <c r="H191" i="6"/>
  <c r="F191" i="6"/>
  <c r="E191" i="6"/>
  <c r="D191" i="6"/>
  <c r="C191" i="6"/>
  <c r="G191" i="6" s="1"/>
  <c r="B191" i="6"/>
  <c r="F190" i="6"/>
  <c r="E190" i="6"/>
  <c r="H190" i="6" s="1"/>
  <c r="D190" i="6"/>
  <c r="C190" i="6"/>
  <c r="B190" i="6"/>
  <c r="F189" i="6"/>
  <c r="E189" i="6"/>
  <c r="D189" i="6"/>
  <c r="C189" i="6"/>
  <c r="H189" i="6" s="1"/>
  <c r="B189" i="6"/>
  <c r="F188" i="6"/>
  <c r="E188" i="6"/>
  <c r="D188" i="6"/>
  <c r="C188" i="6"/>
  <c r="H188" i="6" s="1"/>
  <c r="B188" i="6"/>
  <c r="G188" i="6" s="1"/>
  <c r="F187" i="6"/>
  <c r="G187" i="6" s="1"/>
  <c r="E187" i="6"/>
  <c r="D187" i="6"/>
  <c r="C187" i="6"/>
  <c r="B187" i="6"/>
  <c r="F186" i="6"/>
  <c r="E186" i="6"/>
  <c r="D186" i="6"/>
  <c r="C186" i="6"/>
  <c r="H186" i="6" s="1"/>
  <c r="B186" i="6"/>
  <c r="F185" i="6"/>
  <c r="E185" i="6"/>
  <c r="D185" i="6"/>
  <c r="C185" i="6"/>
  <c r="H185" i="6" s="1"/>
  <c r="B185" i="6"/>
  <c r="H184" i="6"/>
  <c r="G184" i="6"/>
  <c r="F184" i="6"/>
  <c r="E184" i="6"/>
  <c r="D184" i="6"/>
  <c r="C184" i="6"/>
  <c r="B184" i="6"/>
  <c r="C179" i="6"/>
  <c r="B179" i="6"/>
  <c r="C178" i="6"/>
  <c r="B178" i="6"/>
  <c r="C177" i="6"/>
  <c r="B177" i="6"/>
  <c r="C176" i="6"/>
  <c r="B176" i="6"/>
  <c r="D179" i="6"/>
  <c r="D178" i="6"/>
  <c r="D177" i="6"/>
  <c r="D176" i="6"/>
  <c r="C172" i="6"/>
  <c r="E172" i="6" s="1"/>
  <c r="C171" i="6"/>
  <c r="C170" i="6"/>
  <c r="E170" i="6" s="1"/>
  <c r="C169" i="6"/>
  <c r="E169" i="6" s="1"/>
  <c r="C168" i="6"/>
  <c r="C167" i="6"/>
  <c r="C166" i="6"/>
  <c r="C165" i="6"/>
  <c r="F172" i="6"/>
  <c r="F171" i="6"/>
  <c r="E171" i="6"/>
  <c r="F170" i="6"/>
  <c r="F169" i="6"/>
  <c r="F168" i="6"/>
  <c r="E168" i="6"/>
  <c r="F167" i="6"/>
  <c r="E167" i="6"/>
  <c r="F166" i="6"/>
  <c r="E166" i="6"/>
  <c r="F165" i="6"/>
  <c r="E165" i="6"/>
  <c r="H161" i="6"/>
  <c r="F161" i="6"/>
  <c r="H160" i="6"/>
  <c r="F160" i="6"/>
  <c r="H159" i="6"/>
  <c r="F159" i="6"/>
  <c r="H158" i="6"/>
  <c r="F158" i="6"/>
  <c r="H157" i="6"/>
  <c r="F157" i="6"/>
  <c r="H156" i="6"/>
  <c r="F156" i="6"/>
  <c r="H155" i="6"/>
  <c r="F155" i="6"/>
  <c r="H154" i="6"/>
  <c r="F154" i="6"/>
  <c r="H153" i="6"/>
  <c r="F153" i="6"/>
  <c r="H152" i="6"/>
  <c r="F152" i="6"/>
  <c r="H151" i="6"/>
  <c r="F151" i="6"/>
  <c r="H150" i="6"/>
  <c r="F150" i="6"/>
  <c r="H149" i="6"/>
  <c r="F149" i="6"/>
  <c r="H148" i="6"/>
  <c r="F148" i="6"/>
  <c r="H147" i="6"/>
  <c r="F147" i="6"/>
  <c r="H146" i="6"/>
  <c r="F146" i="6"/>
  <c r="H145" i="6"/>
  <c r="F145" i="6"/>
  <c r="H144" i="6"/>
  <c r="F144" i="6"/>
  <c r="H143" i="6"/>
  <c r="F143" i="6"/>
  <c r="H142" i="6"/>
  <c r="F142" i="6"/>
  <c r="H141" i="6"/>
  <c r="F141" i="6"/>
  <c r="H140" i="6"/>
  <c r="F140" i="6"/>
  <c r="H139" i="6"/>
  <c r="F139" i="6"/>
  <c r="H138" i="6"/>
  <c r="F138" i="6"/>
  <c r="H137" i="6"/>
  <c r="F137" i="6"/>
  <c r="H136" i="6"/>
  <c r="F136" i="6"/>
  <c r="H135" i="6"/>
  <c r="F135" i="6"/>
  <c r="H134" i="6"/>
  <c r="F134" i="6"/>
  <c r="H133" i="6"/>
  <c r="F133" i="6"/>
  <c r="H132" i="6"/>
  <c r="F132" i="6"/>
  <c r="H131" i="6"/>
  <c r="F131" i="6"/>
  <c r="H130" i="6"/>
  <c r="F130" i="6"/>
  <c r="H129" i="6"/>
  <c r="F129" i="6"/>
  <c r="H128" i="6"/>
  <c r="F128" i="6"/>
  <c r="H127" i="6"/>
  <c r="F127" i="6"/>
  <c r="H126" i="6"/>
  <c r="F126" i="6"/>
  <c r="H125" i="6"/>
  <c r="F125" i="6"/>
  <c r="H124" i="6"/>
  <c r="F124" i="6"/>
  <c r="H123" i="6"/>
  <c r="F123" i="6"/>
  <c r="H122" i="6"/>
  <c r="F122" i="6"/>
  <c r="H121" i="6"/>
  <c r="F121" i="6"/>
  <c r="H120" i="6"/>
  <c r="F120" i="6"/>
  <c r="H119" i="6"/>
  <c r="F119" i="6"/>
  <c r="H118" i="6"/>
  <c r="F118" i="6"/>
  <c r="H117" i="6"/>
  <c r="F117" i="6"/>
  <c r="H116" i="6"/>
  <c r="F116" i="6"/>
  <c r="H115" i="6"/>
  <c r="F115" i="6"/>
  <c r="H114" i="6"/>
  <c r="F114" i="6"/>
  <c r="H113" i="6"/>
  <c r="F113" i="6"/>
  <c r="H112" i="6"/>
  <c r="F112" i="6"/>
  <c r="H111" i="6"/>
  <c r="F111" i="6"/>
  <c r="H110" i="6"/>
  <c r="F110" i="6"/>
  <c r="H109" i="6"/>
  <c r="F109" i="6"/>
  <c r="H108" i="6"/>
  <c r="F108" i="6"/>
  <c r="H107" i="6"/>
  <c r="F107" i="6"/>
  <c r="H106" i="6"/>
  <c r="F106" i="6"/>
  <c r="H105" i="6"/>
  <c r="F105" i="6"/>
  <c r="H104" i="6"/>
  <c r="F104" i="6"/>
  <c r="H103" i="6"/>
  <c r="F103" i="6"/>
  <c r="H102" i="6"/>
  <c r="F102" i="6"/>
  <c r="H101" i="6"/>
  <c r="F101" i="6"/>
  <c r="H100" i="6"/>
  <c r="F100" i="6"/>
  <c r="H99" i="6"/>
  <c r="F99" i="6"/>
  <c r="H98" i="6"/>
  <c r="F98" i="6"/>
  <c r="H97" i="6"/>
  <c r="F97" i="6"/>
  <c r="H96" i="6"/>
  <c r="F96" i="6"/>
  <c r="H95" i="6"/>
  <c r="F95" i="6"/>
  <c r="H94" i="6"/>
  <c r="F94" i="6"/>
  <c r="H93" i="6"/>
  <c r="F93" i="6"/>
  <c r="H92" i="6"/>
  <c r="F92" i="6"/>
  <c r="H91" i="6"/>
  <c r="F91" i="6"/>
  <c r="H90" i="6"/>
  <c r="F90" i="6"/>
  <c r="H89" i="6"/>
  <c r="F89" i="6"/>
  <c r="H88" i="6"/>
  <c r="F88" i="6"/>
  <c r="H87" i="6"/>
  <c r="F87" i="6"/>
  <c r="H86" i="6"/>
  <c r="F86" i="6"/>
  <c r="H85" i="6"/>
  <c r="F85" i="6"/>
  <c r="H84" i="6"/>
  <c r="F84" i="6"/>
  <c r="H83" i="6"/>
  <c r="F83" i="6"/>
  <c r="H82" i="6"/>
  <c r="F82" i="6"/>
  <c r="H81" i="6"/>
  <c r="F81" i="6"/>
  <c r="H80" i="6"/>
  <c r="F80" i="6"/>
  <c r="H79" i="6"/>
  <c r="F79" i="6"/>
  <c r="H78" i="6"/>
  <c r="F78" i="6"/>
  <c r="H77" i="6"/>
  <c r="F77" i="6"/>
  <c r="H76" i="6"/>
  <c r="F76" i="6"/>
  <c r="H75" i="6"/>
  <c r="F75" i="6"/>
  <c r="H74" i="6"/>
  <c r="F74" i="6"/>
  <c r="H73" i="6"/>
  <c r="F73" i="6"/>
  <c r="H72" i="6"/>
  <c r="F72" i="6"/>
  <c r="H71" i="6"/>
  <c r="F71" i="6"/>
  <c r="H70" i="6"/>
  <c r="F70" i="6"/>
  <c r="H69" i="6"/>
  <c r="F69" i="6"/>
  <c r="H68" i="6"/>
  <c r="F68" i="6"/>
  <c r="H67" i="6"/>
  <c r="F67" i="6"/>
  <c r="H66" i="6"/>
  <c r="F66" i="6"/>
  <c r="H65" i="6"/>
  <c r="F65" i="6"/>
  <c r="H64" i="6"/>
  <c r="F64" i="6"/>
  <c r="H63" i="6"/>
  <c r="F63" i="6"/>
  <c r="H62" i="6"/>
  <c r="F62" i="6"/>
  <c r="H61" i="6"/>
  <c r="F61" i="6"/>
  <c r="H60" i="6"/>
  <c r="F60" i="6"/>
  <c r="H59" i="6"/>
  <c r="F59" i="6"/>
  <c r="H58" i="6"/>
  <c r="F58" i="6"/>
  <c r="H57" i="6"/>
  <c r="F57" i="6"/>
  <c r="H56" i="6"/>
  <c r="F56" i="6"/>
  <c r="H55" i="6"/>
  <c r="F55" i="6"/>
  <c r="H54" i="6"/>
  <c r="F54" i="6"/>
  <c r="H53" i="6"/>
  <c r="F53" i="6"/>
  <c r="H52" i="6"/>
  <c r="F52" i="6"/>
  <c r="H51" i="6"/>
  <c r="F51" i="6"/>
  <c r="H50" i="6"/>
  <c r="F50" i="6"/>
  <c r="H49" i="6"/>
  <c r="F49" i="6"/>
  <c r="H48" i="6"/>
  <c r="F48" i="6"/>
  <c r="H47" i="6"/>
  <c r="F47" i="6"/>
  <c r="H46" i="6"/>
  <c r="F46" i="6"/>
  <c r="H45" i="6"/>
  <c r="F45" i="6"/>
  <c r="H44" i="6"/>
  <c r="F44" i="6"/>
  <c r="H43" i="6"/>
  <c r="F43" i="6"/>
  <c r="H42" i="6"/>
  <c r="F42" i="6"/>
  <c r="H41" i="6"/>
  <c r="F41" i="6"/>
  <c r="H40" i="6"/>
  <c r="F40" i="6"/>
  <c r="H39" i="6"/>
  <c r="F39" i="6"/>
  <c r="H38" i="6"/>
  <c r="F38" i="6"/>
  <c r="H37" i="6"/>
  <c r="F37" i="6"/>
  <c r="H36" i="6"/>
  <c r="F36" i="6"/>
  <c r="H35" i="6"/>
  <c r="F35" i="6"/>
  <c r="H34" i="6"/>
  <c r="F34" i="6"/>
  <c r="H33" i="6"/>
  <c r="F33" i="6"/>
  <c r="H32" i="6"/>
  <c r="F32" i="6"/>
  <c r="H31" i="6"/>
  <c r="F31" i="6"/>
  <c r="H30" i="6"/>
  <c r="F30" i="6"/>
  <c r="H29" i="6"/>
  <c r="F29" i="6"/>
  <c r="H28" i="6"/>
  <c r="F28" i="6"/>
  <c r="H27" i="6"/>
  <c r="F27" i="6"/>
  <c r="H26" i="6"/>
  <c r="F26" i="6"/>
  <c r="H25" i="6"/>
  <c r="F25" i="6"/>
  <c r="H24" i="6"/>
  <c r="F24" i="6"/>
  <c r="H23" i="6"/>
  <c r="F23" i="6"/>
  <c r="H22" i="6"/>
  <c r="F22" i="6"/>
  <c r="H21" i="6"/>
  <c r="F21" i="6"/>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H3" i="6"/>
  <c r="F3" i="6"/>
  <c r="H2" i="6"/>
  <c r="F2" i="6"/>
  <c r="F266" i="5"/>
  <c r="E266" i="5"/>
  <c r="D266" i="5"/>
  <c r="C266" i="5"/>
  <c r="H266" i="5" s="1"/>
  <c r="B266" i="5"/>
  <c r="F265" i="5"/>
  <c r="E265" i="5"/>
  <c r="D265" i="5"/>
  <c r="C265" i="5"/>
  <c r="H265" i="5" s="1"/>
  <c r="B265" i="5"/>
  <c r="F264" i="5"/>
  <c r="E264" i="5"/>
  <c r="D264" i="5"/>
  <c r="C264" i="5"/>
  <c r="H264" i="5" s="1"/>
  <c r="B264" i="5"/>
  <c r="G264" i="5" s="1"/>
  <c r="F263" i="5"/>
  <c r="E263" i="5"/>
  <c r="D263" i="5"/>
  <c r="C263" i="5"/>
  <c r="H263" i="5" s="1"/>
  <c r="B263" i="5"/>
  <c r="G263" i="5" s="1"/>
  <c r="F262" i="5"/>
  <c r="G262" i="5" s="1"/>
  <c r="E262" i="5"/>
  <c r="D262" i="5"/>
  <c r="C262" i="5"/>
  <c r="H262" i="5" s="1"/>
  <c r="B262" i="5"/>
  <c r="F261" i="5"/>
  <c r="E261" i="5"/>
  <c r="D261" i="5"/>
  <c r="C261" i="5"/>
  <c r="H261" i="5" s="1"/>
  <c r="B261" i="5"/>
  <c r="F260" i="5"/>
  <c r="E260" i="5"/>
  <c r="D260" i="5"/>
  <c r="C260" i="5"/>
  <c r="H260" i="5" s="1"/>
  <c r="B260" i="5"/>
  <c r="G260" i="5" s="1"/>
  <c r="H259" i="5"/>
  <c r="G259" i="5"/>
  <c r="F259" i="5"/>
  <c r="E259" i="5"/>
  <c r="D259" i="5"/>
  <c r="C259" i="5"/>
  <c r="B259" i="5"/>
  <c r="F258" i="5"/>
  <c r="E258" i="5"/>
  <c r="D258" i="5"/>
  <c r="C258" i="5"/>
  <c r="H258" i="5" s="1"/>
  <c r="B258" i="5"/>
  <c r="F257" i="5"/>
  <c r="E257" i="5"/>
  <c r="D257" i="5"/>
  <c r="C257" i="5"/>
  <c r="H257" i="5" s="1"/>
  <c r="B257" i="5"/>
  <c r="H256" i="5"/>
  <c r="G256" i="5"/>
  <c r="F256" i="5"/>
  <c r="E256" i="5"/>
  <c r="D256" i="5"/>
  <c r="C256" i="5"/>
  <c r="B256" i="5"/>
  <c r="F255" i="5"/>
  <c r="E255" i="5"/>
  <c r="D255" i="5"/>
  <c r="H255" i="5" s="1"/>
  <c r="C255" i="5"/>
  <c r="B255" i="5"/>
  <c r="F254" i="5"/>
  <c r="E254" i="5"/>
  <c r="D254" i="5"/>
  <c r="C254" i="5"/>
  <c r="H254" i="5" s="1"/>
  <c r="B254" i="5"/>
  <c r="H253" i="5"/>
  <c r="F253" i="5"/>
  <c r="E253" i="5"/>
  <c r="D253" i="5"/>
  <c r="C253" i="5"/>
  <c r="B253" i="5"/>
  <c r="G253" i="5" s="1"/>
  <c r="F252" i="5"/>
  <c r="E252" i="5"/>
  <c r="G252" i="5" s="1"/>
  <c r="D252" i="5"/>
  <c r="C252" i="5"/>
  <c r="B252" i="5"/>
  <c r="F251" i="5"/>
  <c r="E251" i="5"/>
  <c r="D251" i="5"/>
  <c r="C251" i="5"/>
  <c r="H251" i="5" s="1"/>
  <c r="B251" i="5"/>
  <c r="F250" i="5"/>
  <c r="E250" i="5"/>
  <c r="D250" i="5"/>
  <c r="C250" i="5"/>
  <c r="H250" i="5" s="1"/>
  <c r="B250" i="5"/>
  <c r="G250" i="5" s="1"/>
  <c r="F249" i="5"/>
  <c r="G249" i="5" s="1"/>
  <c r="E249" i="5"/>
  <c r="D249" i="5"/>
  <c r="C249" i="5"/>
  <c r="B249" i="5"/>
  <c r="F248" i="5"/>
  <c r="E248" i="5"/>
  <c r="D248" i="5"/>
  <c r="C248" i="5"/>
  <c r="H248" i="5" s="1"/>
  <c r="B248" i="5"/>
  <c r="F247" i="5"/>
  <c r="E247" i="5"/>
  <c r="D247" i="5"/>
  <c r="C247" i="5"/>
  <c r="H247" i="5" s="1"/>
  <c r="B247" i="5"/>
  <c r="G247" i="5" s="1"/>
  <c r="H246" i="5"/>
  <c r="G246" i="5"/>
  <c r="F246" i="5"/>
  <c r="E246" i="5"/>
  <c r="D246" i="5"/>
  <c r="C246" i="5"/>
  <c r="B246" i="5"/>
  <c r="F245" i="5"/>
  <c r="E245" i="5"/>
  <c r="D245" i="5"/>
  <c r="H245" i="5" s="1"/>
  <c r="C245" i="5"/>
  <c r="B245" i="5"/>
  <c r="F244" i="5"/>
  <c r="E244" i="5"/>
  <c r="D244" i="5"/>
  <c r="C244" i="5"/>
  <c r="H244" i="5" s="1"/>
  <c r="B244" i="5"/>
  <c r="H243" i="5"/>
  <c r="F243" i="5"/>
  <c r="E243" i="5"/>
  <c r="D243" i="5"/>
  <c r="C243" i="5"/>
  <c r="G243" i="5" s="1"/>
  <c r="B243" i="5"/>
  <c r="F242" i="5"/>
  <c r="E242" i="5"/>
  <c r="G242" i="5" s="1"/>
  <c r="D242" i="5"/>
  <c r="C242" i="5"/>
  <c r="B242" i="5"/>
  <c r="F241" i="5"/>
  <c r="E241" i="5"/>
  <c r="D241" i="5"/>
  <c r="C241" i="5"/>
  <c r="H241" i="5" s="1"/>
  <c r="B241" i="5"/>
  <c r="F240" i="5"/>
  <c r="E240" i="5"/>
  <c r="D240" i="5"/>
  <c r="C240" i="5"/>
  <c r="H240" i="5" s="1"/>
  <c r="B240" i="5"/>
  <c r="G240" i="5" s="1"/>
  <c r="C228" i="5"/>
  <c r="C227" i="5"/>
  <c r="E227" i="5" s="1"/>
  <c r="B236" i="5" s="1"/>
  <c r="C226" i="5"/>
  <c r="E226" i="5" s="1"/>
  <c r="C235" i="5" s="1"/>
  <c r="C225" i="5"/>
  <c r="E225" i="5" s="1"/>
  <c r="B235" i="5" s="1"/>
  <c r="C224" i="5"/>
  <c r="C223" i="5"/>
  <c r="E223" i="5" s="1"/>
  <c r="B234" i="5" s="1"/>
  <c r="C222" i="5"/>
  <c r="C221" i="5"/>
  <c r="E221" i="5" s="1"/>
  <c r="B233" i="5" s="1"/>
  <c r="C234" i="5"/>
  <c r="F228" i="5"/>
  <c r="E228" i="5"/>
  <c r="C236" i="5" s="1"/>
  <c r="F227" i="5"/>
  <c r="F226" i="5"/>
  <c r="F225" i="5"/>
  <c r="F224" i="5"/>
  <c r="E224" i="5"/>
  <c r="F223" i="5"/>
  <c r="F222" i="5"/>
  <c r="E222" i="5"/>
  <c r="C233" i="5" s="1"/>
  <c r="F221" i="5"/>
  <c r="H217" i="5"/>
  <c r="F217" i="5"/>
  <c r="H216" i="5"/>
  <c r="F216" i="5"/>
  <c r="H215" i="5"/>
  <c r="F215" i="5"/>
  <c r="H214" i="5"/>
  <c r="F214" i="5"/>
  <c r="H213" i="5"/>
  <c r="F213" i="5"/>
  <c r="H212" i="5"/>
  <c r="F212" i="5"/>
  <c r="H211" i="5"/>
  <c r="F211" i="5"/>
  <c r="H210" i="5"/>
  <c r="F210" i="5"/>
  <c r="H209" i="5"/>
  <c r="F209" i="5"/>
  <c r="H208" i="5"/>
  <c r="F208" i="5"/>
  <c r="H207" i="5"/>
  <c r="F207" i="5"/>
  <c r="H206" i="5"/>
  <c r="F206" i="5"/>
  <c r="H205" i="5"/>
  <c r="F205" i="5"/>
  <c r="H204" i="5"/>
  <c r="F204" i="5"/>
  <c r="H203" i="5"/>
  <c r="F203" i="5"/>
  <c r="H202" i="5"/>
  <c r="F202" i="5"/>
  <c r="H201" i="5"/>
  <c r="F201" i="5"/>
  <c r="H200" i="5"/>
  <c r="F200" i="5"/>
  <c r="H199" i="5"/>
  <c r="F199" i="5"/>
  <c r="H198" i="5"/>
  <c r="F198" i="5"/>
  <c r="H197" i="5"/>
  <c r="F197" i="5"/>
  <c r="H196" i="5"/>
  <c r="F196" i="5"/>
  <c r="H195" i="5"/>
  <c r="F195" i="5"/>
  <c r="H194" i="5"/>
  <c r="F194" i="5"/>
  <c r="H193" i="5"/>
  <c r="F193" i="5"/>
  <c r="H192" i="5"/>
  <c r="F192" i="5"/>
  <c r="H191" i="5"/>
  <c r="F191" i="5"/>
  <c r="H190" i="5"/>
  <c r="F190" i="5"/>
  <c r="H189" i="5"/>
  <c r="F189" i="5"/>
  <c r="H188" i="5"/>
  <c r="F188" i="5"/>
  <c r="H187" i="5"/>
  <c r="F187" i="5"/>
  <c r="H186" i="5"/>
  <c r="F186" i="5"/>
  <c r="H185" i="5"/>
  <c r="F185" i="5"/>
  <c r="H184" i="5"/>
  <c r="F184" i="5"/>
  <c r="H183" i="5"/>
  <c r="F183" i="5"/>
  <c r="H182" i="5"/>
  <c r="F182" i="5"/>
  <c r="H181" i="5"/>
  <c r="F181" i="5"/>
  <c r="H180" i="5"/>
  <c r="F180" i="5"/>
  <c r="H179" i="5"/>
  <c r="F179" i="5"/>
  <c r="H178" i="5"/>
  <c r="F178" i="5"/>
  <c r="H177" i="5"/>
  <c r="F177" i="5"/>
  <c r="H176" i="5"/>
  <c r="F176" i="5"/>
  <c r="H175" i="5"/>
  <c r="F175" i="5"/>
  <c r="H174" i="5"/>
  <c r="F174" i="5"/>
  <c r="H173" i="5"/>
  <c r="F173" i="5"/>
  <c r="H172" i="5"/>
  <c r="F172" i="5"/>
  <c r="H171" i="5"/>
  <c r="F171" i="5"/>
  <c r="H170" i="5"/>
  <c r="F170" i="5"/>
  <c r="H169" i="5"/>
  <c r="F169" i="5"/>
  <c r="H168" i="5"/>
  <c r="F168" i="5"/>
  <c r="H167" i="5"/>
  <c r="F167" i="5"/>
  <c r="H166" i="5"/>
  <c r="F166" i="5"/>
  <c r="H165" i="5"/>
  <c r="F165" i="5"/>
  <c r="H164" i="5"/>
  <c r="F164" i="5"/>
  <c r="H163" i="5"/>
  <c r="F163" i="5"/>
  <c r="H162" i="5"/>
  <c r="F162" i="5"/>
  <c r="H161" i="5"/>
  <c r="F161" i="5"/>
  <c r="H160" i="5"/>
  <c r="F160" i="5"/>
  <c r="H159" i="5"/>
  <c r="F159" i="5"/>
  <c r="H158" i="5"/>
  <c r="F158" i="5"/>
  <c r="H157" i="5"/>
  <c r="F157" i="5"/>
  <c r="H156" i="5"/>
  <c r="F156" i="5"/>
  <c r="H155" i="5"/>
  <c r="F155" i="5"/>
  <c r="H154" i="5"/>
  <c r="F154" i="5"/>
  <c r="H153" i="5"/>
  <c r="F153" i="5"/>
  <c r="H152" i="5"/>
  <c r="F152" i="5"/>
  <c r="H151" i="5"/>
  <c r="F151" i="5"/>
  <c r="H150" i="5"/>
  <c r="F150" i="5"/>
  <c r="H149" i="5"/>
  <c r="F149" i="5"/>
  <c r="H148" i="5"/>
  <c r="F148" i="5"/>
  <c r="H147" i="5"/>
  <c r="F147" i="5"/>
  <c r="H146" i="5"/>
  <c r="F146" i="5"/>
  <c r="H145" i="5"/>
  <c r="F145" i="5"/>
  <c r="H144" i="5"/>
  <c r="F144" i="5"/>
  <c r="H143" i="5"/>
  <c r="F143" i="5"/>
  <c r="H142" i="5"/>
  <c r="F142" i="5"/>
  <c r="H141" i="5"/>
  <c r="F141" i="5"/>
  <c r="H140" i="5"/>
  <c r="F140" i="5"/>
  <c r="H139" i="5"/>
  <c r="F139" i="5"/>
  <c r="H138" i="5"/>
  <c r="F138" i="5"/>
  <c r="H137" i="5"/>
  <c r="F137" i="5"/>
  <c r="H136" i="5"/>
  <c r="F136" i="5"/>
  <c r="H135" i="5"/>
  <c r="F135" i="5"/>
  <c r="H134" i="5"/>
  <c r="F134" i="5"/>
  <c r="H133" i="5"/>
  <c r="F133" i="5"/>
  <c r="H132" i="5"/>
  <c r="F132" i="5"/>
  <c r="H131" i="5"/>
  <c r="F131" i="5"/>
  <c r="H130" i="5"/>
  <c r="F130" i="5"/>
  <c r="H129" i="5"/>
  <c r="F129" i="5"/>
  <c r="H128" i="5"/>
  <c r="F128" i="5"/>
  <c r="H127" i="5"/>
  <c r="F127" i="5"/>
  <c r="H126" i="5"/>
  <c r="F126" i="5"/>
  <c r="H125" i="5"/>
  <c r="F125" i="5"/>
  <c r="H124" i="5"/>
  <c r="F124" i="5"/>
  <c r="H123" i="5"/>
  <c r="F123" i="5"/>
  <c r="H122" i="5"/>
  <c r="F122" i="5"/>
  <c r="H121" i="5"/>
  <c r="F121" i="5"/>
  <c r="H120" i="5"/>
  <c r="F120" i="5"/>
  <c r="H119" i="5"/>
  <c r="F119" i="5"/>
  <c r="H118" i="5"/>
  <c r="F118" i="5"/>
  <c r="H117" i="5"/>
  <c r="F117" i="5"/>
  <c r="H116" i="5"/>
  <c r="F116" i="5"/>
  <c r="H115" i="5"/>
  <c r="F115" i="5"/>
  <c r="H114" i="5"/>
  <c r="F114" i="5"/>
  <c r="H113" i="5"/>
  <c r="F113" i="5"/>
  <c r="H112" i="5"/>
  <c r="F112" i="5"/>
  <c r="H111" i="5"/>
  <c r="F111" i="5"/>
  <c r="H110" i="5"/>
  <c r="F110" i="5"/>
  <c r="H109" i="5"/>
  <c r="F109" i="5"/>
  <c r="H108" i="5"/>
  <c r="F108" i="5"/>
  <c r="H107" i="5"/>
  <c r="F107" i="5"/>
  <c r="H106" i="5"/>
  <c r="F106" i="5"/>
  <c r="H105" i="5"/>
  <c r="F105" i="5"/>
  <c r="H104" i="5"/>
  <c r="F104" i="5"/>
  <c r="H103" i="5"/>
  <c r="F103" i="5"/>
  <c r="H102" i="5"/>
  <c r="F102" i="5"/>
  <c r="H101" i="5"/>
  <c r="F101" i="5"/>
  <c r="H100" i="5"/>
  <c r="F100" i="5"/>
  <c r="H99" i="5"/>
  <c r="F99" i="5"/>
  <c r="H98" i="5"/>
  <c r="F98" i="5"/>
  <c r="H97" i="5"/>
  <c r="F97" i="5"/>
  <c r="H96" i="5"/>
  <c r="F96" i="5"/>
  <c r="H95" i="5"/>
  <c r="F95" i="5"/>
  <c r="H94" i="5"/>
  <c r="F94" i="5"/>
  <c r="H93" i="5"/>
  <c r="F93" i="5"/>
  <c r="H92" i="5"/>
  <c r="F92" i="5"/>
  <c r="H91" i="5"/>
  <c r="F91" i="5"/>
  <c r="H90" i="5"/>
  <c r="F90" i="5"/>
  <c r="H89" i="5"/>
  <c r="F89" i="5"/>
  <c r="H88" i="5"/>
  <c r="F88" i="5"/>
  <c r="H87" i="5"/>
  <c r="F87" i="5"/>
  <c r="H86" i="5"/>
  <c r="F86" i="5"/>
  <c r="H85" i="5"/>
  <c r="F85" i="5"/>
  <c r="H84" i="5"/>
  <c r="F84" i="5"/>
  <c r="H83" i="5"/>
  <c r="F83" i="5"/>
  <c r="H82" i="5"/>
  <c r="F82" i="5"/>
  <c r="H81" i="5"/>
  <c r="F81" i="5"/>
  <c r="H80" i="5"/>
  <c r="F80" i="5"/>
  <c r="H79" i="5"/>
  <c r="F79" i="5"/>
  <c r="H78" i="5"/>
  <c r="F78" i="5"/>
  <c r="H77" i="5"/>
  <c r="F77" i="5"/>
  <c r="H76" i="5"/>
  <c r="F76" i="5"/>
  <c r="H75" i="5"/>
  <c r="F75" i="5"/>
  <c r="H74" i="5"/>
  <c r="F74" i="5"/>
  <c r="H73" i="5"/>
  <c r="F73" i="5"/>
  <c r="H72" i="5"/>
  <c r="F72" i="5"/>
  <c r="H71" i="5"/>
  <c r="F71" i="5"/>
  <c r="H70" i="5"/>
  <c r="F70" i="5"/>
  <c r="H69" i="5"/>
  <c r="F69" i="5"/>
  <c r="H68" i="5"/>
  <c r="F68" i="5"/>
  <c r="H67" i="5"/>
  <c r="F67" i="5"/>
  <c r="H66" i="5"/>
  <c r="F66" i="5"/>
  <c r="H65" i="5"/>
  <c r="F65" i="5"/>
  <c r="H64" i="5"/>
  <c r="F64" i="5"/>
  <c r="H63" i="5"/>
  <c r="F63" i="5"/>
  <c r="H62" i="5"/>
  <c r="F62" i="5"/>
  <c r="H61" i="5"/>
  <c r="F61" i="5"/>
  <c r="H60" i="5"/>
  <c r="F60" i="5"/>
  <c r="H59" i="5"/>
  <c r="F59" i="5"/>
  <c r="H58" i="5"/>
  <c r="F58" i="5"/>
  <c r="H57" i="5"/>
  <c r="F57" i="5"/>
  <c r="H56" i="5"/>
  <c r="F56" i="5"/>
  <c r="H55" i="5"/>
  <c r="F55" i="5"/>
  <c r="H54" i="5"/>
  <c r="F54" i="5"/>
  <c r="H53" i="5"/>
  <c r="F53" i="5"/>
  <c r="H52" i="5"/>
  <c r="F52" i="5"/>
  <c r="H51" i="5"/>
  <c r="F51" i="5"/>
  <c r="H50" i="5"/>
  <c r="F50" i="5"/>
  <c r="H49" i="5"/>
  <c r="F49" i="5"/>
  <c r="H48" i="5"/>
  <c r="F48" i="5"/>
  <c r="H47" i="5"/>
  <c r="F47" i="5"/>
  <c r="H46" i="5"/>
  <c r="F46" i="5"/>
  <c r="H45" i="5"/>
  <c r="F45" i="5"/>
  <c r="H44" i="5"/>
  <c r="F44" i="5"/>
  <c r="H43" i="5"/>
  <c r="F43" i="5"/>
  <c r="H42" i="5"/>
  <c r="F42" i="5"/>
  <c r="H41" i="5"/>
  <c r="F41" i="5"/>
  <c r="H40" i="5"/>
  <c r="F40" i="5"/>
  <c r="H39" i="5"/>
  <c r="F39" i="5"/>
  <c r="H38" i="5"/>
  <c r="F38" i="5"/>
  <c r="H37" i="5"/>
  <c r="F37" i="5"/>
  <c r="H36" i="5"/>
  <c r="F36" i="5"/>
  <c r="H35" i="5"/>
  <c r="F35" i="5"/>
  <c r="H34" i="5"/>
  <c r="F34" i="5"/>
  <c r="H33" i="5"/>
  <c r="F33" i="5"/>
  <c r="H32" i="5"/>
  <c r="F32" i="5"/>
  <c r="H31" i="5"/>
  <c r="F31" i="5"/>
  <c r="H30" i="5"/>
  <c r="F30" i="5"/>
  <c r="H29" i="5"/>
  <c r="F29" i="5"/>
  <c r="H28" i="5"/>
  <c r="F28" i="5"/>
  <c r="H27" i="5"/>
  <c r="F27" i="5"/>
  <c r="H26" i="5"/>
  <c r="F26" i="5"/>
  <c r="H25" i="5"/>
  <c r="F25" i="5"/>
  <c r="H24" i="5"/>
  <c r="F24" i="5"/>
  <c r="H23" i="5"/>
  <c r="F23" i="5"/>
  <c r="H22" i="5"/>
  <c r="F22" i="5"/>
  <c r="H21" i="5"/>
  <c r="F21" i="5"/>
  <c r="H20" i="5"/>
  <c r="F20" i="5"/>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H3" i="5"/>
  <c r="F3" i="5"/>
  <c r="H2" i="5"/>
  <c r="F2" i="5"/>
  <c r="F159" i="4"/>
  <c r="E159" i="4"/>
  <c r="D159" i="4"/>
  <c r="C159" i="4"/>
  <c r="H159" i="4" s="1"/>
  <c r="B159" i="4"/>
  <c r="H158" i="4"/>
  <c r="F158" i="4"/>
  <c r="E158" i="4"/>
  <c r="D158" i="4"/>
  <c r="C158" i="4"/>
  <c r="G158" i="4" s="1"/>
  <c r="B158" i="4"/>
  <c r="F157" i="4"/>
  <c r="E157" i="4"/>
  <c r="H157" i="4" s="1"/>
  <c r="D157" i="4"/>
  <c r="C157" i="4"/>
  <c r="B157" i="4"/>
  <c r="F156" i="4"/>
  <c r="E156" i="4"/>
  <c r="D156" i="4"/>
  <c r="C156" i="4"/>
  <c r="G156" i="4" s="1"/>
  <c r="B156" i="4"/>
  <c r="F155" i="4"/>
  <c r="E155" i="4"/>
  <c r="D155" i="4"/>
  <c r="C155" i="4"/>
  <c r="H155" i="4" s="1"/>
  <c r="B155" i="4"/>
  <c r="G155" i="4" s="1"/>
  <c r="F154" i="4"/>
  <c r="H154" i="4" s="1"/>
  <c r="E154" i="4"/>
  <c r="D154" i="4"/>
  <c r="C154" i="4"/>
  <c r="B154" i="4"/>
  <c r="F153" i="4"/>
  <c r="E153" i="4"/>
  <c r="D153" i="4"/>
  <c r="C153" i="4"/>
  <c r="H153" i="4" s="1"/>
  <c r="B153" i="4"/>
  <c r="F152" i="4"/>
  <c r="E152" i="4"/>
  <c r="D152" i="4"/>
  <c r="C152" i="4"/>
  <c r="H152" i="4" s="1"/>
  <c r="B152" i="4"/>
  <c r="G152" i="4" s="1"/>
  <c r="H151" i="4"/>
  <c r="G151" i="4"/>
  <c r="F151" i="4"/>
  <c r="E151" i="4"/>
  <c r="D151" i="4"/>
  <c r="C151" i="4"/>
  <c r="B151" i="4"/>
  <c r="F150" i="4"/>
  <c r="E150" i="4"/>
  <c r="D150" i="4"/>
  <c r="H150" i="4" s="1"/>
  <c r="C150" i="4"/>
  <c r="B150" i="4"/>
  <c r="G150" i="4" s="1"/>
  <c r="F149" i="4"/>
  <c r="E149" i="4"/>
  <c r="D149" i="4"/>
  <c r="C149" i="4"/>
  <c r="H149" i="4" s="1"/>
  <c r="B149" i="4"/>
  <c r="H148" i="4"/>
  <c r="F148" i="4"/>
  <c r="E148" i="4"/>
  <c r="D148" i="4"/>
  <c r="C148" i="4"/>
  <c r="G148" i="4" s="1"/>
  <c r="B148" i="4"/>
  <c r="F147" i="4"/>
  <c r="E147" i="4"/>
  <c r="G147" i="4" s="1"/>
  <c r="D147" i="4"/>
  <c r="C147" i="4"/>
  <c r="H147" i="4" s="1"/>
  <c r="B147" i="4"/>
  <c r="F146" i="4"/>
  <c r="E146" i="4"/>
  <c r="D146" i="4"/>
  <c r="C146" i="4"/>
  <c r="G146" i="4" s="1"/>
  <c r="B146" i="4"/>
  <c r="G145" i="4"/>
  <c r="F145" i="4"/>
  <c r="E145" i="4"/>
  <c r="D145" i="4"/>
  <c r="C145" i="4"/>
  <c r="H145" i="4" s="1"/>
  <c r="B145" i="4"/>
  <c r="C140" i="4"/>
  <c r="C139" i="4"/>
  <c r="C138" i="4"/>
  <c r="C137" i="4"/>
  <c r="B140" i="4"/>
  <c r="B139" i="4"/>
  <c r="B138" i="4"/>
  <c r="B137" i="4"/>
  <c r="D140" i="4"/>
  <c r="D139" i="4"/>
  <c r="D138" i="4"/>
  <c r="D137" i="4"/>
  <c r="F132" i="4"/>
  <c r="C132" i="4"/>
  <c r="E132" i="4" s="1"/>
  <c r="F131" i="4"/>
  <c r="C131" i="4"/>
  <c r="E131" i="4" s="1"/>
  <c r="F130" i="4"/>
  <c r="C130" i="4"/>
  <c r="E130" i="4" s="1"/>
  <c r="F129" i="4"/>
  <c r="E129" i="4"/>
  <c r="C129" i="4"/>
  <c r="F128" i="4"/>
  <c r="C128" i="4"/>
  <c r="E128" i="4" s="1"/>
  <c r="F127" i="4"/>
  <c r="C127" i="4"/>
  <c r="E127" i="4" s="1"/>
  <c r="F126" i="4"/>
  <c r="E126" i="4"/>
  <c r="C126" i="4"/>
  <c r="F125" i="4"/>
  <c r="C125" i="4"/>
  <c r="E125" i="4" s="1"/>
  <c r="H121" i="4"/>
  <c r="F121" i="4"/>
  <c r="H120" i="4"/>
  <c r="F120" i="4"/>
  <c r="H119" i="4"/>
  <c r="F119" i="4"/>
  <c r="H118" i="4"/>
  <c r="F118" i="4"/>
  <c r="H117" i="4"/>
  <c r="F117" i="4"/>
  <c r="H116" i="4"/>
  <c r="F116" i="4"/>
  <c r="H115" i="4"/>
  <c r="F115" i="4"/>
  <c r="H114" i="4"/>
  <c r="F114" i="4"/>
  <c r="H113" i="4"/>
  <c r="F113" i="4"/>
  <c r="H112" i="4"/>
  <c r="F112" i="4"/>
  <c r="H111" i="4"/>
  <c r="F111" i="4"/>
  <c r="H110" i="4"/>
  <c r="F110" i="4"/>
  <c r="H109" i="4"/>
  <c r="F109" i="4"/>
  <c r="H108" i="4"/>
  <c r="F108" i="4"/>
  <c r="H107" i="4"/>
  <c r="F107" i="4"/>
  <c r="H106" i="4"/>
  <c r="F106" i="4"/>
  <c r="H105" i="4"/>
  <c r="F105" i="4"/>
  <c r="H104" i="4"/>
  <c r="F104" i="4"/>
  <c r="H103" i="4"/>
  <c r="F103" i="4"/>
  <c r="H102" i="4"/>
  <c r="F102" i="4"/>
  <c r="H101" i="4"/>
  <c r="F101" i="4"/>
  <c r="H100" i="4"/>
  <c r="F100" i="4"/>
  <c r="H99" i="4"/>
  <c r="F99" i="4"/>
  <c r="H98" i="4"/>
  <c r="F98" i="4"/>
  <c r="H97" i="4"/>
  <c r="F97" i="4"/>
  <c r="H96" i="4"/>
  <c r="F96" i="4"/>
  <c r="H95" i="4"/>
  <c r="F95" i="4"/>
  <c r="H94" i="4"/>
  <c r="F94" i="4"/>
  <c r="H93" i="4"/>
  <c r="F93" i="4"/>
  <c r="H92" i="4"/>
  <c r="F92" i="4"/>
  <c r="H91" i="4"/>
  <c r="F91" i="4"/>
  <c r="H90" i="4"/>
  <c r="F90" i="4"/>
  <c r="H89" i="4"/>
  <c r="F89" i="4"/>
  <c r="H88" i="4"/>
  <c r="F88" i="4"/>
  <c r="H87" i="4"/>
  <c r="F87" i="4"/>
  <c r="H86" i="4"/>
  <c r="F86" i="4"/>
  <c r="H85" i="4"/>
  <c r="F85" i="4"/>
  <c r="H84" i="4"/>
  <c r="F84" i="4"/>
  <c r="H83" i="4"/>
  <c r="F83" i="4"/>
  <c r="H82" i="4"/>
  <c r="F82" i="4"/>
  <c r="H81" i="4"/>
  <c r="F81" i="4"/>
  <c r="H80" i="4"/>
  <c r="F80" i="4"/>
  <c r="H79" i="4"/>
  <c r="F79" i="4"/>
  <c r="H78" i="4"/>
  <c r="F78" i="4"/>
  <c r="H77" i="4"/>
  <c r="F77" i="4"/>
  <c r="H76" i="4"/>
  <c r="F76" i="4"/>
  <c r="H75" i="4"/>
  <c r="F75" i="4"/>
  <c r="H74" i="4"/>
  <c r="F74" i="4"/>
  <c r="H73" i="4"/>
  <c r="F73" i="4"/>
  <c r="H72" i="4"/>
  <c r="F72" i="4"/>
  <c r="H71" i="4"/>
  <c r="F71" i="4"/>
  <c r="H70" i="4"/>
  <c r="F70" i="4"/>
  <c r="H69" i="4"/>
  <c r="F69" i="4"/>
  <c r="H68" i="4"/>
  <c r="F68" i="4"/>
  <c r="H67" i="4"/>
  <c r="F67" i="4"/>
  <c r="H66" i="4"/>
  <c r="F66" i="4"/>
  <c r="H65" i="4"/>
  <c r="F65" i="4"/>
  <c r="H64" i="4"/>
  <c r="F64" i="4"/>
  <c r="H63" i="4"/>
  <c r="F63" i="4"/>
  <c r="H62" i="4"/>
  <c r="F62" i="4"/>
  <c r="H61" i="4"/>
  <c r="F61" i="4"/>
  <c r="H60" i="4"/>
  <c r="F60" i="4"/>
  <c r="H59" i="4"/>
  <c r="F59" i="4"/>
  <c r="H58" i="4"/>
  <c r="F58" i="4"/>
  <c r="H57" i="4"/>
  <c r="F57" i="4"/>
  <c r="H56" i="4"/>
  <c r="F56" i="4"/>
  <c r="H55" i="4"/>
  <c r="F55" i="4"/>
  <c r="H54" i="4"/>
  <c r="F54" i="4"/>
  <c r="H53" i="4"/>
  <c r="F53" i="4"/>
  <c r="H52" i="4"/>
  <c r="F52" i="4"/>
  <c r="H51" i="4"/>
  <c r="F51" i="4"/>
  <c r="H50" i="4"/>
  <c r="F50" i="4"/>
  <c r="H49" i="4"/>
  <c r="F49" i="4"/>
  <c r="H48" i="4"/>
  <c r="F48" i="4"/>
  <c r="H47" i="4"/>
  <c r="F47" i="4"/>
  <c r="H46" i="4"/>
  <c r="F46" i="4"/>
  <c r="H45" i="4"/>
  <c r="F45" i="4"/>
  <c r="H44" i="4"/>
  <c r="F44" i="4"/>
  <c r="H43" i="4"/>
  <c r="F43" i="4"/>
  <c r="H42" i="4"/>
  <c r="F42" i="4"/>
  <c r="H41" i="4"/>
  <c r="F41" i="4"/>
  <c r="H40" i="4"/>
  <c r="F40" i="4"/>
  <c r="H39" i="4"/>
  <c r="F39" i="4"/>
  <c r="H38" i="4"/>
  <c r="F38" i="4"/>
  <c r="H37" i="4"/>
  <c r="F37" i="4"/>
  <c r="H36" i="4"/>
  <c r="F36" i="4"/>
  <c r="H35" i="4"/>
  <c r="F35" i="4"/>
  <c r="H34" i="4"/>
  <c r="F34" i="4"/>
  <c r="H33" i="4"/>
  <c r="F33" i="4"/>
  <c r="H32" i="4"/>
  <c r="F32" i="4"/>
  <c r="H31" i="4"/>
  <c r="F31" i="4"/>
  <c r="H30" i="4"/>
  <c r="F30" i="4"/>
  <c r="H29" i="4"/>
  <c r="F29" i="4"/>
  <c r="H28" i="4"/>
  <c r="F28" i="4"/>
  <c r="H27" i="4"/>
  <c r="F27" i="4"/>
  <c r="H26" i="4"/>
  <c r="F26" i="4"/>
  <c r="H25" i="4"/>
  <c r="F25" i="4"/>
  <c r="H24" i="4"/>
  <c r="F24" i="4"/>
  <c r="H23" i="4"/>
  <c r="F23" i="4"/>
  <c r="H22" i="4"/>
  <c r="F22" i="4"/>
  <c r="H21" i="4"/>
  <c r="F21" i="4"/>
  <c r="H20" i="4"/>
  <c r="F20" i="4"/>
  <c r="H19" i="4"/>
  <c r="F19" i="4"/>
  <c r="H18" i="4"/>
  <c r="F18" i="4"/>
  <c r="H17" i="4"/>
  <c r="F17" i="4"/>
  <c r="H16" i="4"/>
  <c r="F16" i="4"/>
  <c r="H15" i="4"/>
  <c r="F15" i="4"/>
  <c r="H14" i="4"/>
  <c r="F14" i="4"/>
  <c r="H13" i="4"/>
  <c r="F13" i="4"/>
  <c r="H12" i="4"/>
  <c r="F12" i="4"/>
  <c r="H11" i="4"/>
  <c r="F11" i="4"/>
  <c r="H10" i="4"/>
  <c r="F10" i="4"/>
  <c r="H9" i="4"/>
  <c r="F9" i="4"/>
  <c r="H8" i="4"/>
  <c r="F8" i="4"/>
  <c r="H7" i="4"/>
  <c r="F7" i="4"/>
  <c r="H6" i="4"/>
  <c r="F6" i="4"/>
  <c r="H5" i="4"/>
  <c r="F5" i="4"/>
  <c r="H4" i="4"/>
  <c r="F4" i="4"/>
  <c r="H3" i="4"/>
  <c r="F3" i="4"/>
  <c r="H2" i="4"/>
  <c r="F2" i="4"/>
  <c r="F159" i="1"/>
  <c r="E159" i="1"/>
  <c r="D159" i="1"/>
  <c r="C159" i="1"/>
  <c r="H159" i="1" s="1"/>
  <c r="B159" i="1"/>
  <c r="F158" i="1"/>
  <c r="E158" i="1"/>
  <c r="D158" i="1"/>
  <c r="C158" i="1"/>
  <c r="H158" i="1" s="1"/>
  <c r="B158" i="1"/>
  <c r="G158" i="1" s="1"/>
  <c r="F157" i="1"/>
  <c r="H157" i="1" s="1"/>
  <c r="E157" i="1"/>
  <c r="D157" i="1"/>
  <c r="C157" i="1"/>
  <c r="B157" i="1"/>
  <c r="F156" i="1"/>
  <c r="E156" i="1"/>
  <c r="D156" i="1"/>
  <c r="C156" i="1"/>
  <c r="G156" i="1" s="1"/>
  <c r="B156" i="1"/>
  <c r="F155" i="1"/>
  <c r="E155" i="1"/>
  <c r="D155" i="1"/>
  <c r="C155" i="1"/>
  <c r="H155" i="1" s="1"/>
  <c r="B155" i="1"/>
  <c r="G155" i="1" s="1"/>
  <c r="H154" i="1"/>
  <c r="G154" i="1"/>
  <c r="F154" i="1"/>
  <c r="E154" i="1"/>
  <c r="D154" i="1"/>
  <c r="C154" i="1"/>
  <c r="B154" i="1"/>
  <c r="F153" i="1"/>
  <c r="E153" i="1"/>
  <c r="D153" i="1"/>
  <c r="H153" i="1" s="1"/>
  <c r="C153" i="1"/>
  <c r="B153" i="1"/>
  <c r="F152" i="1"/>
  <c r="E152" i="1"/>
  <c r="D152" i="1"/>
  <c r="C152" i="1"/>
  <c r="G152" i="1" s="1"/>
  <c r="B152" i="1"/>
  <c r="H151" i="1"/>
  <c r="F151" i="1"/>
  <c r="E151" i="1"/>
  <c r="D151" i="1"/>
  <c r="C151" i="1"/>
  <c r="B151" i="1"/>
  <c r="G151" i="1" s="1"/>
  <c r="F150" i="1"/>
  <c r="E150" i="1"/>
  <c r="H150" i="1" s="1"/>
  <c r="D150" i="1"/>
  <c r="C150" i="1"/>
  <c r="B150" i="1"/>
  <c r="F149" i="1"/>
  <c r="E149" i="1"/>
  <c r="D149" i="1"/>
  <c r="C149" i="1"/>
  <c r="H149" i="1" s="1"/>
  <c r="B149" i="1"/>
  <c r="F148" i="1"/>
  <c r="E148" i="1"/>
  <c r="D148" i="1"/>
  <c r="C148" i="1"/>
  <c r="H148" i="1" s="1"/>
  <c r="B148" i="1"/>
  <c r="G148" i="1" s="1"/>
  <c r="F147" i="1"/>
  <c r="G147" i="1" s="1"/>
  <c r="E147" i="1"/>
  <c r="D147" i="1"/>
  <c r="C147" i="1"/>
  <c r="B147" i="1"/>
  <c r="F146" i="1"/>
  <c r="E146" i="1"/>
  <c r="D146" i="1"/>
  <c r="C146" i="1"/>
  <c r="G146" i="1" s="1"/>
  <c r="B146" i="1"/>
  <c r="F145" i="1"/>
  <c r="E145" i="1"/>
  <c r="D145" i="1"/>
  <c r="C145" i="1"/>
  <c r="H145" i="1" s="1"/>
  <c r="B145" i="1"/>
  <c r="G145" i="1" s="1"/>
  <c r="G137" i="1"/>
  <c r="G140" i="1"/>
  <c r="G139" i="1"/>
  <c r="G138" i="1"/>
  <c r="F132" i="1"/>
  <c r="F131" i="1"/>
  <c r="F130" i="1"/>
  <c r="F129" i="1"/>
  <c r="F128" i="1"/>
  <c r="F127" i="1"/>
  <c r="F126" i="1"/>
  <c r="F125" i="1"/>
  <c r="C125" i="1"/>
  <c r="E126" i="1"/>
  <c r="E127" i="1"/>
  <c r="E128" i="1"/>
  <c r="E129" i="1"/>
  <c r="E130" i="1"/>
  <c r="E131" i="1"/>
  <c r="E132" i="1"/>
  <c r="H121" i="1"/>
  <c r="F121" i="1"/>
  <c r="H120" i="1"/>
  <c r="F120" i="1"/>
  <c r="H119" i="1"/>
  <c r="F119" i="1"/>
  <c r="H118" i="1"/>
  <c r="F118" i="1"/>
  <c r="H117" i="1"/>
  <c r="F117" i="1"/>
  <c r="H116" i="1"/>
  <c r="F116" i="1"/>
  <c r="H115" i="1"/>
  <c r="F115" i="1"/>
  <c r="H114" i="1"/>
  <c r="F114" i="1"/>
  <c r="H113" i="1"/>
  <c r="F113" i="1"/>
  <c r="H112" i="1"/>
  <c r="F112" i="1"/>
  <c r="H111" i="1"/>
  <c r="F111" i="1"/>
  <c r="H110" i="1"/>
  <c r="F110" i="1"/>
  <c r="H109" i="1"/>
  <c r="F109" i="1"/>
  <c r="H108" i="1"/>
  <c r="F108" i="1"/>
  <c r="H107" i="1"/>
  <c r="F107" i="1"/>
  <c r="C132" i="1" s="1"/>
  <c r="H106" i="1"/>
  <c r="F106" i="1"/>
  <c r="H105" i="1"/>
  <c r="F105" i="1"/>
  <c r="H104" i="1"/>
  <c r="F104" i="1"/>
  <c r="H103" i="1"/>
  <c r="F103" i="1"/>
  <c r="H102" i="1"/>
  <c r="F102" i="1"/>
  <c r="H101" i="1"/>
  <c r="F101" i="1"/>
  <c r="H100" i="1"/>
  <c r="F100" i="1"/>
  <c r="H99" i="1"/>
  <c r="F99" i="1"/>
  <c r="H98" i="1"/>
  <c r="F98" i="1"/>
  <c r="H97" i="1"/>
  <c r="F97" i="1"/>
  <c r="H96" i="1"/>
  <c r="F96" i="1"/>
  <c r="H95" i="1"/>
  <c r="F95" i="1"/>
  <c r="H94" i="1"/>
  <c r="F94" i="1"/>
  <c r="H93" i="1"/>
  <c r="F93" i="1"/>
  <c r="H92" i="1"/>
  <c r="F92" i="1"/>
  <c r="C131" i="1" s="1"/>
  <c r="H91" i="1"/>
  <c r="F91" i="1"/>
  <c r="H90" i="1"/>
  <c r="F90" i="1"/>
  <c r="H89" i="1"/>
  <c r="F89" i="1"/>
  <c r="H88" i="1"/>
  <c r="F88" i="1"/>
  <c r="H87" i="1"/>
  <c r="F87" i="1"/>
  <c r="H86" i="1"/>
  <c r="F86" i="1"/>
  <c r="H85" i="1"/>
  <c r="F85" i="1"/>
  <c r="H84" i="1"/>
  <c r="F84" i="1"/>
  <c r="H83" i="1"/>
  <c r="F83" i="1"/>
  <c r="H82" i="1"/>
  <c r="F82" i="1"/>
  <c r="H81" i="1"/>
  <c r="F81" i="1"/>
  <c r="H80" i="1"/>
  <c r="F80" i="1"/>
  <c r="H79" i="1"/>
  <c r="F79" i="1"/>
  <c r="H78" i="1"/>
  <c r="F78" i="1"/>
  <c r="H77" i="1"/>
  <c r="F77" i="1"/>
  <c r="C130" i="1" s="1"/>
  <c r="H76" i="1"/>
  <c r="F76" i="1"/>
  <c r="H75" i="1"/>
  <c r="F75" i="1"/>
  <c r="H74" i="1"/>
  <c r="F74" i="1"/>
  <c r="H73" i="1"/>
  <c r="F73" i="1"/>
  <c r="H72" i="1"/>
  <c r="F72" i="1"/>
  <c r="H71" i="1"/>
  <c r="F71" i="1"/>
  <c r="H70" i="1"/>
  <c r="F70" i="1"/>
  <c r="H69" i="1"/>
  <c r="F69" i="1"/>
  <c r="H68" i="1"/>
  <c r="F68" i="1"/>
  <c r="H67" i="1"/>
  <c r="F67" i="1"/>
  <c r="H66" i="1"/>
  <c r="F66" i="1"/>
  <c r="H65" i="1"/>
  <c r="F65" i="1"/>
  <c r="H64" i="1"/>
  <c r="F64" i="1"/>
  <c r="H63" i="1"/>
  <c r="F63" i="1"/>
  <c r="H62" i="1"/>
  <c r="F62" i="1"/>
  <c r="C129" i="1" s="1"/>
  <c r="H61" i="1"/>
  <c r="F61" i="1"/>
  <c r="H60" i="1"/>
  <c r="F60" i="1"/>
  <c r="H59" i="1"/>
  <c r="F59" i="1"/>
  <c r="H58" i="1"/>
  <c r="F58" i="1"/>
  <c r="H57" i="1"/>
  <c r="F57" i="1"/>
  <c r="H56" i="1"/>
  <c r="F56" i="1"/>
  <c r="H55" i="1"/>
  <c r="F55" i="1"/>
  <c r="H54" i="1"/>
  <c r="F54" i="1"/>
  <c r="H53" i="1"/>
  <c r="F53" i="1"/>
  <c r="H52" i="1"/>
  <c r="F52" i="1"/>
  <c r="H51" i="1"/>
  <c r="F51" i="1"/>
  <c r="H50" i="1"/>
  <c r="F50" i="1"/>
  <c r="H49" i="1"/>
  <c r="F49" i="1"/>
  <c r="H48" i="1"/>
  <c r="F48" i="1"/>
  <c r="H47" i="1"/>
  <c r="F47" i="1"/>
  <c r="H46" i="1"/>
  <c r="F46" i="1"/>
  <c r="H45" i="1"/>
  <c r="F45" i="1"/>
  <c r="H44" i="1"/>
  <c r="F44" i="1"/>
  <c r="H43" i="1"/>
  <c r="F43" i="1"/>
  <c r="H42" i="1"/>
  <c r="F42" i="1"/>
  <c r="H41" i="1"/>
  <c r="F41" i="1"/>
  <c r="H40" i="1"/>
  <c r="F40" i="1"/>
  <c r="H39" i="1"/>
  <c r="F39" i="1"/>
  <c r="H38" i="1"/>
  <c r="F38" i="1"/>
  <c r="H37" i="1"/>
  <c r="F37" i="1"/>
  <c r="H36" i="1"/>
  <c r="F36" i="1"/>
  <c r="H35" i="1"/>
  <c r="F35" i="1"/>
  <c r="H34" i="1"/>
  <c r="F34" i="1"/>
  <c r="C127" i="1" s="1"/>
  <c r="H33" i="1"/>
  <c r="F33" i="1"/>
  <c r="H32" i="1"/>
  <c r="F32" i="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H17" i="1"/>
  <c r="F17" i="1"/>
  <c r="C126" i="1" s="1"/>
  <c r="H16" i="1"/>
  <c r="F16" i="1"/>
  <c r="H15" i="1"/>
  <c r="F15" i="1"/>
  <c r="H14" i="1"/>
  <c r="F14" i="1"/>
  <c r="H13" i="1"/>
  <c r="F13" i="1"/>
  <c r="H12" i="1"/>
  <c r="F12" i="1"/>
  <c r="H11" i="1"/>
  <c r="F11" i="1"/>
  <c r="H10" i="1"/>
  <c r="F10" i="1"/>
  <c r="H9" i="1"/>
  <c r="F9" i="1"/>
  <c r="H8" i="1"/>
  <c r="F8" i="1"/>
  <c r="H7" i="1"/>
  <c r="F7" i="1"/>
  <c r="H6" i="1"/>
  <c r="F6" i="1"/>
  <c r="H5" i="1"/>
  <c r="F5" i="1"/>
  <c r="H4" i="1"/>
  <c r="F4" i="1"/>
  <c r="H3" i="1"/>
  <c r="F3" i="1"/>
  <c r="H2" i="1"/>
  <c r="F2" i="1"/>
  <c r="M24" i="7" l="1"/>
  <c r="N21" i="7"/>
  <c r="J22" i="7"/>
  <c r="N23" i="7"/>
  <c r="N22" i="7"/>
  <c r="N24" i="7"/>
  <c r="H187" i="6"/>
  <c r="H196" i="6"/>
  <c r="G190" i="6"/>
  <c r="G186" i="6"/>
  <c r="G202" i="6"/>
  <c r="G189" i="6"/>
  <c r="G192" i="6"/>
  <c r="G185" i="6"/>
  <c r="G195" i="6"/>
  <c r="G193" i="6"/>
  <c r="G200" i="6"/>
  <c r="G203" i="6"/>
  <c r="H242" i="5"/>
  <c r="G245" i="5"/>
  <c r="H252" i="5"/>
  <c r="G255" i="5"/>
  <c r="G265" i="5"/>
  <c r="G248" i="5"/>
  <c r="G258" i="5"/>
  <c r="H249" i="5"/>
  <c r="G241" i="5"/>
  <c r="G251" i="5"/>
  <c r="G261" i="5"/>
  <c r="G244" i="5"/>
  <c r="G254" i="5"/>
  <c r="G257" i="5"/>
  <c r="G266" i="5"/>
  <c r="D236" i="5"/>
  <c r="D233" i="5"/>
  <c r="D234" i="5"/>
  <c r="D235" i="5"/>
  <c r="G154" i="4"/>
  <c r="G153" i="4"/>
  <c r="H146" i="4"/>
  <c r="G149" i="4"/>
  <c r="H156" i="4"/>
  <c r="G159" i="4"/>
  <c r="G157" i="4"/>
  <c r="H152" i="1"/>
  <c r="H147" i="1"/>
  <c r="G157" i="1"/>
  <c r="G150" i="1"/>
  <c r="H146" i="1"/>
  <c r="G149" i="1"/>
  <c r="H156" i="1"/>
  <c r="G159" i="1"/>
  <c r="G153" i="1"/>
  <c r="E125" i="1"/>
  <c r="C128" i="1"/>
</calcChain>
</file>

<file path=xl/sharedStrings.xml><?xml version="1.0" encoding="utf-8"?>
<sst xmlns="http://schemas.openxmlformats.org/spreadsheetml/2006/main" count="3325" uniqueCount="138">
  <si>
    <t>Model</t>
  </si>
  <si>
    <t>Prompt</t>
  </si>
  <si>
    <t>Patient ID</t>
  </si>
  <si>
    <t>Expected</t>
  </si>
  <si>
    <t>Model Decision</t>
  </si>
  <si>
    <t>Correct</t>
  </si>
  <si>
    <t>Narrative</t>
  </si>
  <si>
    <t>Key</t>
  </si>
  <si>
    <t>gpt</t>
  </si>
  <si>
    <t>no_guideline</t>
  </si>
  <si>
    <t>Asthma</t>
  </si>
  <si>
    <t>AlternativeDiagnosis</t>
  </si>
  <si>
    <t>The patient presents with a blood eosinophil count that is elevated and a FeNO level of 30.0 ppb. Spirometry is not available. FEV1 increase is 0.0% and 0.0 ml, with a predicted FEV1 increase of 0.0%. PEF variability is 0.0%. Bronchial hyperresponsiveness is not present.</t>
  </si>
  <si>
    <t>The patient presents with a blood eosinophil count that is not elevated and a FeNO level of 55.0 ppb. Spirometry is not available. FEV1 increase is 0.0% and 0.0 ml, with a predicted FEV1 increase of 0.0%. PEF variability is 0.0%. Bronchial hyperresponsiveness is not present.</t>
  </si>
  <si>
    <t>The patient presents with a blood eosinophil count that is elevated and a FeNO level of 55.0 ppb. Spirometry is not available. FEV1 increase is 0.0% and 0.0 ml, with a predicted FEV1 increase of 0.0%. PEF variability is 0.0%. Bronchial hyperresponsiveness is not present.</t>
  </si>
  <si>
    <t>The patient presents with a blood eosinophil count that is not elevated and a FeNO level of 50.0 ppb. Spirometry is not available. FEV1 increase is 0.0% and 0.0 ml, with a predicted FEV1 increase of 0.0%. PEF variability is 0.0%. Bronchial hyperresponsiveness is not present.</t>
  </si>
  <si>
    <t>The patient presents with a blood eosinophil count that is not elevated and a FeNO level of 30.0 ppb. Spirometry is available. FEV1 increase is 13.0%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</si>
  <si>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11.0%. PEF variability is 0.0%. Bronchial hyperresponsiveness is not present.</t>
  </si>
  <si>
    <t>The patient presents with a blood eosinophil count that is not elevated and a FeNO level of 30.0 ppb. Spirometry is available. FEV1 increase is 12.0% and 200.0 ml, with a predicted FEV1 increase of 5.0%. PEF variability is 0.0%. Bronchial hyperresponsiveness is not present.</t>
  </si>
  <si>
    <t>The patient presents with a blood eosinophil count that is not elevated and a FeNO level of 30.0 ppb. Spirometry is not available. FEV1 increase is 0.0% and 0.0 ml, with a predicted FEV1 increase of 0.0%. PEF variability is 22.0%. Bronchial hyperresponsiveness is not present.</t>
  </si>
  <si>
    <t>The patient presents with a blood eosinophil count that is not elevated and a FeNO level of 30.0 ppb. Spirometry is not available. FEV1 increase is 0.0% and 0.0 ml, with a predicted FEV1 increase of 0.0%. PEF variability is 20.0%. Bronchial hyperresponsiveness is not present.</t>
  </si>
  <si>
    <t>The patient presents with a blood eosinophil count that is not elevated and a FeNO level of 30.0 ppb. Spirometry is available. FEV1 increase is 5.0% and 100.0 ml, with a predicted FEV1 increase of 5.0%. PEF variability is 0.0%. Bronchial hyperresponsiveness is present.</t>
  </si>
  <si>
    <t>The patient presents with a blood eosinophil count that is not elevated and a FeNO level of 30.0 ppb. Spirometry is not available. FEV1 increase is 0.0% and 0.0 ml, with a predicted FEV1 increase of 0.0%. PEF variability is 10.0%. Bronchial hyperresponsiveness is present.</t>
  </si>
  <si>
    <t>The patient presents with a blood eosinophil count that is not elevated and a FeNO level of 30.0 ppb. Spirometry is available. FEV1 increase is 13.0% and 150.0 ml, with a predicted FEV1 increase of 5.0%. PEF variability is 0.0%. Bronchial hyperresponsiveness is not present.</t>
  </si>
  <si>
    <t>The patient presents with a blood eosinophil count that is not elevated and a FeNO level of 30.0 ppb. Spirometry is available. FEV1 increase is 5.0%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</si>
  <si>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5.0%. PEF variability is 10.0%. Bronchial hyperresponsiveness is not present.</t>
  </si>
  <si>
    <t>The patient presents with a blood eosinophil count that is not elevated and a FeNO level of 30.0 ppb. Spirometry is not available. FEV1 increase is 0.0% and 0.0 ml, with a predicted FEV1 increase of 0.0%. PEF variability is 10.0%. Bronchial hyperresponsiveness is not present.</t>
  </si>
  <si>
    <t>with_guideline</t>
  </si>
  <si>
    <t>claude</t>
  </si>
  <si>
    <t>PARSE_ERROR</t>
  </si>
  <si>
    <t>gemini</t>
  </si>
  <si>
    <t>llama</t>
  </si>
  <si>
    <t>Total</t>
  </si>
  <si>
    <t>Parse Errors</t>
  </si>
  <si>
    <t>No Guideline %</t>
  </si>
  <si>
    <t>With Guideline %</t>
  </si>
  <si>
    <t>Delta</t>
  </si>
  <si>
    <t>gpt decision</t>
  </si>
  <si>
    <t>claude decision</t>
  </si>
  <si>
    <t>gemini decision</t>
  </si>
  <si>
    <t>llama decision</t>
  </si>
  <si>
    <t>Wrong Count</t>
  </si>
  <si>
    <t>Models Agree?</t>
  </si>
  <si>
    <t>Accuracy</t>
  </si>
  <si>
    <t>Guideline Delta (per model)</t>
  </si>
  <si>
    <t>Screen_3y</t>
  </si>
  <si>
    <t>The patient is under 40 years of age and presents with a systolic blood pressure of 110 mmHg and a diastolic blood pressure of 60 mmHg. The patient does not have high cardiovascular risk.</t>
  </si>
  <si>
    <t>Screen_1y</t>
  </si>
  <si>
    <t>The patient is aged 40 or older and presents with a systolic blood pressure of 110 mmHg and a diastolic blood pressure of 60 mmHg. The patient does not have high cardiovascular risk.</t>
  </si>
  <si>
    <t>The patient is under 40 years of age and presents with a systolic blood pressure of 120 mmHg and a diastolic blood pressure of 70 mmHg. The patient does not have high cardiovascular risk.</t>
  </si>
  <si>
    <t>Confirm</t>
  </si>
  <si>
    <t>The patient is under 40 years of age and presents with a systolic blood pressure of 120 mmHg and a diastolic blood pressure of 70 mmHg. The patient has high cardiovascular risk.</t>
  </si>
  <si>
    <t>The patient is aged 40 or older and presents with a systolic blood pressure of 120 mmHg and a diastolic blood pressure of 70 mmHg. The patient does not have high cardiovascular risk.</t>
  </si>
  <si>
    <t>The patient is aged 40 or older and presents with a systolic blood pressure of 120 mmHg and a diastolic blood pressure of 70 mmHg. The patient has high cardiovascular risk.</t>
  </si>
  <si>
    <t>The patient is under 40 years of age and presents with a systolic blood pressure of 140 mmHg and a diastolic blood pressure of 90 mmHg. The patient does not have high cardiovascular risk.</t>
  </si>
  <si>
    <t>The patient is under 40 years of age and presents with a systolic blood pressure of 118 mmHg and a diastolic blood pressure of 92 mmHg. The patient does not have high cardiovascular risk.</t>
  </si>
  <si>
    <t>The patient is under 40 years of age and presents with a systolic blood pressure of 152 mmHg and a diastolic blood pressure of 68 mmHg. The patient does not have high cardiovascular risk.</t>
  </si>
  <si>
    <t>ConfirmPromptly</t>
  </si>
  <si>
    <t>The patient is under 40 years of age and presents with a systolic blood pressure of 160 mmHg and a diastolic blood pressure of 100 mmHg. The patient does not have high cardiovascular risk.</t>
  </si>
  <si>
    <t>The patient is under 40 years of age and presents with a systolic blood pressure of 165 mmHg and a diastolic blood pressure of 90 mmHg. The patient does not have high cardiovascular risk.</t>
  </si>
  <si>
    <t>The patient is aged 40 or older and presents with a systolic blood pressure of 120 mmHg and a diastolic blood pressure of 105 mmHg. The patient does not have high cardiovascular risk.</t>
  </si>
  <si>
    <t>EvaluateEmergency</t>
  </si>
  <si>
    <t>The patient is under 40 years of age and presents with a systolic blood pressure of 180 mmHg and a diastolic blood pressure of 110 mmHg. The patient does not have high cardiovascular risk.</t>
  </si>
  <si>
    <t>The patient is under 40 years of age and presents with a systolic blood pressure of 180 mmHg and a diastolic blood pressure of 90 mmHg. The patient does not have high cardiovascular risk.</t>
  </si>
  <si>
    <t>The patient is aged 40 or older and presents with a systolic blood pressure of 118 mmHg and a diastolic blood pressure of 110 mmHg. The patient does not have high cardiovascular risk.</t>
  </si>
  <si>
    <t>with guidelines</t>
  </si>
  <si>
    <t>Group1</t>
  </si>
  <si>
    <t>The patient has an Abbreviated Mental Test Score (AMTS) of 10 out of 10. Blood urea is 5.0 mmol/L. Respiratory rate is 16 breaths per minute. Blood pressure is 120/80 mmHg. The patient is younger than 65 years of age.</t>
  </si>
  <si>
    <t>The patient has an Abbreviated Mental Test Score (AMTS) of 9 out of 10. Blood urea is 5.0 mmol/L. Respiratory rate is 16 breaths per minute. Blood pressure is 120/80 mmHg. The patient is 65 years of age or older.</t>
  </si>
  <si>
    <t>Group2</t>
  </si>
  <si>
    <t>The patient has an Abbreviated Mental Test Score (AMTS) of 8 out of 10. Blood urea is 5.0 mmol/L. Respiratory rate is 16 breaths per minute. Blood pressure is 120/80 mmHg. The patient is 65 years of age or older.</t>
  </si>
  <si>
    <t>The patient has an Abbreviated Mental Test Score (AMTS) of 10 out of 10. Blood urea is 7.0 mmol/L. Respiratory rate is 16 breaths per minute. Blood pressure is 120/80 mmHg. The patient is 65 years of age or older.</t>
  </si>
  <si>
    <t>The patient has an Abbreviated Mental Test Score (AMTS) of 10 out of 10. Blood urea is 7.1 mmol/L. Respiratory rate is 16 breaths per minute. Blood pressure is 120/80 mmHg. The patient is 65 years of age or older.</t>
  </si>
  <si>
    <t>The patient has an Abbreviated Mental Test Score (AMTS) of 10 out of 10. Blood urea is 5.0 mmol/L. Respiratory rate is 29 breaths per minute. Blood pressure is 120/80 mmHg. The patient is 65 years of age or older.</t>
  </si>
  <si>
    <t>The patient has an Abbreviated Mental Test Score (AMTS) of 10 out of 10. Blood urea is 5.0 mmol/L. Respiratory rate is 30 breaths per minute. Blood pressure is 120/80 mmHg. The patient is 65 years of age or older.</t>
  </si>
  <si>
    <t>The patient has an Abbreviated Mental Test Score (AMTS) of 10 out of 10. Blood urea is 5.0 mmol/L. Respiratory rate is 16 breaths per minute. Blood pressure is 120/61 mmHg. The patient is 65 years of age or older.</t>
  </si>
  <si>
    <t>The patient has an Abbreviated Mental Test Score (AMTS) of 10 out of 10. Blood urea is 5.0 mmol/L. Respiratory rate is 16 breaths per minute. Blood pressure is 120/60 mmHg. The patient is 65 years of age or older.</t>
  </si>
  <si>
    <t>The patient has an Abbreviated Mental Test Score (AMTS) of 10 out of 10. Blood urea is 5.0 mmol/L. Respiratory rate is 16 breaths per minute. Blood pressure is 90/80 mmHg. The patient is 65 years of age or older.</t>
  </si>
  <si>
    <t>The patient has an Abbreviated Mental Test Score (AMTS) of 10 out of 10. Blood urea is 5.0 mmol/L. Respiratory rate is 16 breaths per minute. Blood pressure is 89/80 mmHg. The patient is 65 years of age or older.</t>
  </si>
  <si>
    <t>The patient has an Abbreviated Mental Test Score (AMTS) of 10 out of 10. Blood urea is 5.0 mmol/L. Respiratory rate is 16 breaths per minute. Blood pressure is 85/55 mmHg. The patient is 65 years of age or older.</t>
  </si>
  <si>
    <t>The patient has an Abbreviated Mental Test Score (AMTS) of 8 out of 10. Blood urea is 5.0 mmol/L. Respiratory rate is 16 breaths per minute. Blood pressure is 120/80 mmHg. The patient is younger than 65 years of age.</t>
  </si>
  <si>
    <t>The patient has an Abbreviated Mental Test Score (AMTS) of 8 out of 10. Blood urea is 8.0 mmol/L. Respiratory rate is 16 breaths per minute. Blood pressure is 120/80 mmHg. The patient is younger than 65 years of age.</t>
  </si>
  <si>
    <t>Group3</t>
  </si>
  <si>
    <t>The patient has an Abbreviated Mental Test Score (AMTS) of 8 out of 10. Blood urea is 8.0 mmol/L. Respiratory rate is 32 breaths per minute. Blood pressure is 120/80 mmHg. The patient is younger than 65 years of age.</t>
  </si>
  <si>
    <t>The patient has an Abbreviated Mental Test Score (AMTS) of 5 out of 10. Blood urea is 10.0 mmol/L. Respiratory rate is 35 breaths per minute. Blood pressure is 85/70 mmHg. The patient is younger than 65 years of age.</t>
  </si>
  <si>
    <t>The patient has an Abbreviated Mental Test Score (AMTS) of 3 out of 10. Blood urea is 12.0 mmol/L. Respiratory rate is 40 breaths per minute. Blood pressure is 80/50 mmHg. The patient is 65 years of age or older.</t>
  </si>
  <si>
    <t>The patient has an Abbreviated Mental Test Score (AMTS) of 6 out of 10. Blood urea is 5.0 mmol/L. Respiratory rate is 18 breaths per minute. Blood pressure is 130/75 mmHg. The patient is 65 years of age or older.</t>
  </si>
  <si>
    <t>The patient has an Abbreviated Mental Test Score (AMTS) of 10 out of 10. Blood urea is 4.0 mmol/L. Respiratory rate is 34 breaths per minute. Blood pressure is 82/55 mmHg. The patient is younger than 65 years of age.</t>
  </si>
  <si>
    <t>The patient has an Abbreviated Mental Test Score (AMTS) of 10 out of 10. Blood urea is 5.0 mmol/L. Respiratory rate is 16 breaths per minute. Blood pressure is 120/59 mmHg. The patient is 65 years of age or older.</t>
  </si>
  <si>
    <t>The patient has an Abbreviated Mental Test Score (AMTS) of 10 out of 10. Blood urea is 5.0 mmol/L. Respiratory rate is 16 breaths per minute. Blood pressure is 91/80 mmHg. The patient is 65 years of age or older.</t>
  </si>
  <si>
    <t>The patient has an Abbreviated Mental Test Score (AMTS) of 10 out of 10. Blood urea is 5.0 mmol/L. Respiratory rate is 16 breaths per minute. Blood pressure is 90/60 mmHg. The patient is 65 years of age or older.</t>
  </si>
  <si>
    <t>The patient has an Abbreviated Mental Test Score (AMTS) of 10 out of 10. Blood urea is 5.0 mmol/L. Respiratory rate is 16 breaths per minute. Blood pressure is 90/61 mmHg. The patient is 65 years of age or older.</t>
  </si>
  <si>
    <t>ExcludeDVT</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</si>
  <si>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</si>
  <si>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TreatAnticoagulation</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</si>
  <si>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</si>
  <si>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</si>
  <si>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</si>
  <si>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</si>
  <si>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</si>
  <si>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</si>
  <si>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RepeatUltrasoundIn1Week</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</si>
  <si>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</si>
  <si>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</si>
  <si>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</si>
  <si>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</si>
  <si>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present.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</si>
  <si>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present.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</si>
  <si>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present.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</si>
  <si>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present.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</si>
  <si>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present.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</si>
  <si>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present.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</si>
  <si>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present.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</si>
  <si>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present.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</si>
  <si>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present. Localized tenderness along the deep venous system is present. Swelling of the entire leg is present.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</si>
  <si>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Calf swelling more than 3 cm larger than the asymptomatic side is present.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 Swelling of the entire leg is absent.</t>
  </si>
  <si>
    <t>Disease</t>
  </si>
  <si>
    <t>Correct (no_gl)</t>
  </si>
  <si>
    <t>Total (no_gl)</t>
  </si>
  <si>
    <t>Correct (with_gl)</t>
  </si>
  <si>
    <t>Total (with_gl)</t>
  </si>
  <si>
    <t>asthma</t>
  </si>
  <si>
    <t>hypertension</t>
  </si>
  <si>
    <t>curb</t>
  </si>
  <si>
    <t>dvt</t>
  </si>
  <si>
    <t>Asthma No-GL %</t>
  </si>
  <si>
    <t>Hypertension No-GL %</t>
  </si>
  <si>
    <t>Curb No-GL %</t>
  </si>
  <si>
    <t>Dvt No-GL %</t>
  </si>
  <si>
    <t>Asthma With-GL %</t>
  </si>
  <si>
    <t>Hypertension With-GL %</t>
  </si>
  <si>
    <t>Curb With-GL %</t>
  </si>
  <si>
    <t>Dvt With-GL %</t>
  </si>
  <si>
    <t>Asthma Delta</t>
  </si>
  <si>
    <t>Hypertension Delta</t>
  </si>
  <si>
    <t>Curb Delta</t>
  </si>
  <si>
    <t>Dvt Delta</t>
  </si>
  <si>
    <t>Avg 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</si>
</sst>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 x14ac:knownFonts="1">
    <font>
      <sz val="11"/>
      <color theme="1"/>
      <name val="Calibri"/>
      <family val="2"/>
      <charset val="1"/>
    </font>
    <font>
      <b/>
      <sz val="11"/>
      <color rgb="FFFFFFFF"/>
      <name val="Arial"/>
      <charset val="1"/>
    </font>
    <font>
      <sz val="11"/>
      <name val="Arial"/>
      <charset val="1"/>
    </font>
    <font>
      <sz val="11"/>
      <name val="Arial"/>
      <family val="2"/>
    </font>
    <font>
      <sz val="11"/>
      <color rgb="FF000000"/>
      <name val="Calibri"/>
      <family val="2"/>
      <charset val="1"/>
    </font>
    <font>
      <b/>
      <sz val="11"/>
      <color rgb="FFFFFFFF"/>
      <name val="Arial"/>
      <family val="2"/>
    </font>
    <font>
      <b/>
      <sz val="11"/>
      <name val="Arial"/>
      <family val="2"/>
    </font>
  </fonts>
  <fills count="5">
    <fill>
      <patternFill patternType="none"/>
    </fill>
    <fill>
      <patternFill patternType="gray125"/>
    </fill>
    <fill>
      <patternFill patternType="solid">
        <fgColor rgb="FF1F4E78"/>
        <bgColor rgb="FF003366"/>
      </patternFill>
    </fill>
    <fill>
      <patternFill patternType="solid">
        <fgColor rgb="FFFFC7CE"/>
        <bgColor rgb="FFD9D9D9"/>
      </patternFill>
    </fill>
    <fill>
      <patternFill patternType="solid">
        <fgColor rgb="FFC6EFCE"/>
        <bgColor rgb="FFD9D9D9"/>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0" borderId="0" xfId="0" applyFont="1"/>
    <xf numFmtId="0" fontId="2" fillId="3" borderId="0" xfId="0" applyFont="1" applyFill="1"/>
    <xf numFmtId="0" fontId="2" fillId="4" borderId="0" xfId="0" applyFont="1" applyFill="1"/>
    <xf numFmtId="164" fontId="2" fillId="0" borderId="0" xfId="0" applyNumberFormat="1" applyFont="1"/>
    <xf numFmtId="165" fontId="2" fillId="0" borderId="0" xfId="0" applyNumberFormat="1" applyFont="1"/>
    <xf numFmtId="0" fontId="3" fillId="0" borderId="0" xfId="0" applyFont="1"/>
    <xf numFmtId="164" fontId="0" fillId="0" borderId="0" xfId="0" applyNumberFormat="1"/>
    <xf numFmtId="0" fontId="4" fillId="0" borderId="0" xfId="0" applyFont="1"/>
    <xf numFmtId="0" fontId="5" fillId="2" borderId="0" xfId="0" applyFont="1" applyFill="1"/>
    <xf numFmtId="164" fontId="4" fillId="0" borderId="0" xfId="0" applyNumberFormat="1" applyFont="1"/>
    <xf numFmtId="0" fontId="6" fillId="0" borderId="0" xfId="0" applyFont="1"/>
    <xf numFmtId="164" fontId="3" fillId="0" borderId="0" xfId="0" applyNumberFormat="1" applyFont="1"/>
    <xf numFmtId="0" fontId="3" fillId="4" borderId="0" xfId="0" applyFont="1" applyFill="1"/>
    <xf numFmtId="0" fontId="3" fillId="3" borderId="0" xfId="0" applyFont="1" applyFill="1"/>
    <xf numFmtId="165" fontId="3" fillId="0" borderId="0" xfId="0" applyNumberFormat="1" applyFont="1"/>
    <xf numFmtId="165" fontId="6"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Cross-Disease Guideline</a:t>
            </a:r>
            <a:r>
              <a:rPr lang="en-GB" baseline="0"/>
              <a:t> Delta</a:t>
            </a:r>
          </a:p>
          <a:p>
            <a:pPr>
              <a:defRPr/>
            </a:pP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RS"/>
        </a:p>
      </c:txPr>
    </c:title>
    <c:autoTitleDeleted val="0"/>
    <c:plotArea>
      <c:layout/>
      <c:barChart>
        <c:barDir val="col"/>
        <c:grouping val="clustered"/>
        <c:varyColors val="0"/>
        <c:ser>
          <c:idx val="0"/>
          <c:order val="0"/>
          <c:tx>
            <c:strRef>
              <c:f>final_eval!$J$20</c:f>
              <c:strCache>
                <c:ptCount val="1"/>
                <c:pt idx="0">
                  <c:v>Asthma Delta</c:v>
                </c:pt>
              </c:strCache>
            </c:strRef>
          </c:tx>
          <c:spPr>
            <a:solidFill>
              <a:schemeClr val="accent1"/>
            </a:solidFill>
            <a:ln>
              <a:noFill/>
            </a:ln>
            <a:effectLst/>
          </c:spPr>
          <c:invertIfNegative val="0"/>
          <c:cat>
            <c:strRef>
              <c:f>final_eval!$A$21:$A$24</c:f>
              <c:strCache>
                <c:ptCount val="4"/>
                <c:pt idx="0">
                  <c:v>gpt</c:v>
                </c:pt>
                <c:pt idx="1">
                  <c:v>claude</c:v>
                </c:pt>
                <c:pt idx="2">
                  <c:v>gemini</c:v>
                </c:pt>
                <c:pt idx="3">
                  <c:v>llama</c:v>
                </c:pt>
              </c:strCache>
            </c:strRef>
          </c:cat>
          <c:val>
            <c:numRef>
              <c:f>final_eval!$J$21:$J$24</c:f>
              <c:numCache>
                <c:formatCode>\+0.0%;\-0.0%</c:formatCode>
                <c:ptCount val="4"/>
                <c:pt idx="0">
                  <c:v>0.46666666666666667</c:v>
                </c:pt>
                <c:pt idx="1">
                  <c:v>0.2</c:v>
                </c:pt>
                <c:pt idx="2">
                  <c:v>0.60000000000000009</c:v>
                </c:pt>
                <c:pt idx="3">
                  <c:v>-6.6666666666666666E-2</c:v>
                </c:pt>
              </c:numCache>
            </c:numRef>
          </c:val>
          <c:extLst>
            <c:ext xmlns:c16="http://schemas.microsoft.com/office/drawing/2014/chart" uri="{C3380CC4-5D6E-409C-BE32-E72D297353CC}">
              <c16:uniqueId val="{00000000-2326-F742-AEBD-9AF227B9B75A}"/>
            </c:ext>
          </c:extLst>
        </c:ser>
        <c:ser>
          <c:idx val="1"/>
          <c:order val="1"/>
          <c:tx>
            <c:strRef>
              <c:f>final_eval!$K$20</c:f>
              <c:strCache>
                <c:ptCount val="1"/>
                <c:pt idx="0">
                  <c:v>Hypertension Delta</c:v>
                </c:pt>
              </c:strCache>
            </c:strRef>
          </c:tx>
          <c:spPr>
            <a:solidFill>
              <a:schemeClr val="accent2"/>
            </a:solidFill>
            <a:ln>
              <a:noFill/>
            </a:ln>
            <a:effectLst/>
          </c:spPr>
          <c:invertIfNegative val="0"/>
          <c:cat>
            <c:strRef>
              <c:f>final_eval!$A$21:$A$24</c:f>
              <c:strCache>
                <c:ptCount val="4"/>
                <c:pt idx="0">
                  <c:v>gpt</c:v>
                </c:pt>
                <c:pt idx="1">
                  <c:v>claude</c:v>
                </c:pt>
                <c:pt idx="2">
                  <c:v>gemini</c:v>
                </c:pt>
                <c:pt idx="3">
                  <c:v>llama</c:v>
                </c:pt>
              </c:strCache>
            </c:strRef>
          </c:cat>
          <c:val>
            <c:numRef>
              <c:f>final_eval!$K$21:$K$24</c:f>
              <c:numCache>
                <c:formatCode>\+0.0%;\-0.0%</c:formatCode>
                <c:ptCount val="4"/>
                <c:pt idx="0">
                  <c:v>0.6</c:v>
                </c:pt>
                <c:pt idx="1">
                  <c:v>0.53333333333333333</c:v>
                </c:pt>
                <c:pt idx="2">
                  <c:v>0.6</c:v>
                </c:pt>
                <c:pt idx="3">
                  <c:v>-0.26666666666666666</c:v>
                </c:pt>
              </c:numCache>
            </c:numRef>
          </c:val>
          <c:extLst>
            <c:ext xmlns:c16="http://schemas.microsoft.com/office/drawing/2014/chart" uri="{C3380CC4-5D6E-409C-BE32-E72D297353CC}">
              <c16:uniqueId val="{00000001-2326-F742-AEBD-9AF227B9B75A}"/>
            </c:ext>
          </c:extLst>
        </c:ser>
        <c:ser>
          <c:idx val="2"/>
          <c:order val="2"/>
          <c:tx>
            <c:strRef>
              <c:f>final_eval!$L$20</c:f>
              <c:strCache>
                <c:ptCount val="1"/>
                <c:pt idx="0">
                  <c:v>Curb Delta</c:v>
                </c:pt>
              </c:strCache>
            </c:strRef>
          </c:tx>
          <c:spPr>
            <a:solidFill>
              <a:schemeClr val="accent3"/>
            </a:solidFill>
            <a:ln>
              <a:noFill/>
            </a:ln>
            <a:effectLst/>
          </c:spPr>
          <c:invertIfNegative val="0"/>
          <c:cat>
            <c:strRef>
              <c:f>final_eval!$A$21:$A$24</c:f>
              <c:strCache>
                <c:ptCount val="4"/>
                <c:pt idx="0">
                  <c:v>gpt</c:v>
                </c:pt>
                <c:pt idx="1">
                  <c:v>claude</c:v>
                </c:pt>
                <c:pt idx="2">
                  <c:v>gemini</c:v>
                </c:pt>
                <c:pt idx="3">
                  <c:v>llama</c:v>
                </c:pt>
              </c:strCache>
            </c:strRef>
          </c:cat>
          <c:val>
            <c:numRef>
              <c:f>final_eval!$L$21:$L$24</c:f>
              <c:numCache>
                <c:formatCode>\+0.0%;\-0.0%</c:formatCode>
                <c:ptCount val="4"/>
                <c:pt idx="0">
                  <c:v>0.14814814814814814</c:v>
                </c:pt>
                <c:pt idx="1">
                  <c:v>0</c:v>
                </c:pt>
                <c:pt idx="2">
                  <c:v>0.33333333333333326</c:v>
                </c:pt>
                <c:pt idx="3">
                  <c:v>0</c:v>
                </c:pt>
              </c:numCache>
            </c:numRef>
          </c:val>
          <c:extLst>
            <c:ext xmlns:c16="http://schemas.microsoft.com/office/drawing/2014/chart" uri="{C3380CC4-5D6E-409C-BE32-E72D297353CC}">
              <c16:uniqueId val="{00000002-2326-F742-AEBD-9AF227B9B75A}"/>
            </c:ext>
          </c:extLst>
        </c:ser>
        <c:ser>
          <c:idx val="3"/>
          <c:order val="3"/>
          <c:tx>
            <c:strRef>
              <c:f>final_eval!$M$20</c:f>
              <c:strCache>
                <c:ptCount val="1"/>
                <c:pt idx="0">
                  <c:v>Dvt Delta</c:v>
                </c:pt>
              </c:strCache>
            </c:strRef>
          </c:tx>
          <c:spPr>
            <a:solidFill>
              <a:schemeClr val="accent4"/>
            </a:solidFill>
            <a:ln>
              <a:noFill/>
            </a:ln>
            <a:effectLst/>
          </c:spPr>
          <c:invertIfNegative val="0"/>
          <c:cat>
            <c:strRef>
              <c:f>final_eval!$A$21:$A$24</c:f>
              <c:strCache>
                <c:ptCount val="4"/>
                <c:pt idx="0">
                  <c:v>gpt</c:v>
                </c:pt>
                <c:pt idx="1">
                  <c:v>claude</c:v>
                </c:pt>
                <c:pt idx="2">
                  <c:v>gemini</c:v>
                </c:pt>
                <c:pt idx="3">
                  <c:v>llama</c:v>
                </c:pt>
              </c:strCache>
            </c:strRef>
          </c:cat>
          <c:val>
            <c:numRef>
              <c:f>final_eval!$M$21:$M$24</c:f>
              <c:numCache>
                <c:formatCode>\+0.0%;\-0.0%</c:formatCode>
                <c:ptCount val="4"/>
                <c:pt idx="0">
                  <c:v>9.9999999999999978E-2</c:v>
                </c:pt>
                <c:pt idx="1">
                  <c:v>0</c:v>
                </c:pt>
                <c:pt idx="2">
                  <c:v>-0.10000000000000009</c:v>
                </c:pt>
                <c:pt idx="3">
                  <c:v>0</c:v>
                </c:pt>
              </c:numCache>
            </c:numRef>
          </c:val>
          <c:extLst>
            <c:ext xmlns:c16="http://schemas.microsoft.com/office/drawing/2014/chart" uri="{C3380CC4-5D6E-409C-BE32-E72D297353CC}">
              <c16:uniqueId val="{00000003-2326-F742-AEBD-9AF227B9B75A}"/>
            </c:ext>
          </c:extLst>
        </c:ser>
        <c:dLbls>
          <c:showLegendKey val="0"/>
          <c:showVal val="0"/>
          <c:showCatName val="0"/>
          <c:showSerName val="0"/>
          <c:showPercent val="0"/>
          <c:showBubbleSize val="0"/>
        </c:dLbls>
        <c:gapWidth val="219"/>
        <c:overlap val="-27"/>
        <c:axId val="1875016480"/>
        <c:axId val="1875018192"/>
      </c:barChart>
      <c:catAx>
        <c:axId val="187501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1875018192"/>
        <c:crosses val="autoZero"/>
        <c:auto val="1"/>
        <c:lblAlgn val="ctr"/>
        <c:lblOffset val="100"/>
        <c:noMultiLvlLbl val="0"/>
      </c:catAx>
      <c:valAx>
        <c:axId val="187501819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187501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527050</xdr:colOff>
      <xdr:row>29</xdr:row>
      <xdr:rowOff>107950</xdr:rowOff>
    </xdr:from>
    <xdr:to>
      <xdr:col>6</xdr:col>
      <xdr:colOff>241300</xdr:colOff>
      <xdr:row>47</xdr:row>
      <xdr:rowOff>114300</xdr:rowOff>
    </xdr:to>
    <xdr:graphicFrame macro="">
      <xdr:nvGraphicFramePr>
        <xdr:cNvPr id="2" name="Chart 1">
          <a:extLst>
            <a:ext uri="{FF2B5EF4-FFF2-40B4-BE49-F238E27FC236}">
              <a16:creationId xmlns:a16="http://schemas.microsoft.com/office/drawing/2014/main" id="{8F370BD7-9082-3918-C8CF-F45BDCA03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hypertension_phase3_evaluation.xlsx" TargetMode="External"/><Relationship Id="rId2" Type="http://schemas.openxmlformats.org/officeDocument/2006/relationships/externalLinkPath" Target="/Users/brankadelic/Downloads/hypertension_phase3_evaluation.xlsx" TargetMode="External"/><Relationship Id="rId1" Type="http://schemas.openxmlformats.org/officeDocument/2006/relationships/externalLinkPath" Target="/Users/brankadelic/Downloads/hypertension_phase3_evaluatio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curb_phase3_evaluation%20(1).xlsx" TargetMode="External"/><Relationship Id="rId2" Type="http://schemas.openxmlformats.org/officeDocument/2006/relationships/externalLinkPath" Target="/Users/brankadelic/Downloads/curb_phase3_evaluation%20(1).xlsx" TargetMode="External"/><Relationship Id="rId1" Type="http://schemas.openxmlformats.org/officeDocument/2006/relationships/externalLinkPath" Target="/Users/brankadelic/Downloads/curb_phase3_evaluation%20(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Downloads/dvt_phase3_evaluation.xlsx" TargetMode="External"/><Relationship Id="rId2" Type="http://schemas.openxmlformats.org/officeDocument/2006/relationships/externalLinkPath" Target="/Users/brankadelic/Downloads/dvt_phase3_evaluation.xlsx" TargetMode="External"/><Relationship Id="rId1" Type="http://schemas.openxmlformats.org/officeDocument/2006/relationships/externalLinkPath" Target="/Users/brankadelic/Downloads/dvt_phase3_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s"/>
      <sheetName val="Summary"/>
      <sheetName val="Patient Difficulty"/>
    </sheetNames>
    <sheetDataSet>
      <sheetData sheetId="0">
        <row r="1">
          <cell r="D1" t="str">
            <v>Expected</v>
          </cell>
          <cell r="E1" t="str">
            <v>Model Decision</v>
          </cell>
          <cell r="H1" t="str">
            <v>Key</v>
          </cell>
        </row>
        <row r="2">
          <cell r="D2" t="str">
            <v>Screen_3y</v>
          </cell>
          <cell r="E2" t="str">
            <v>Screen_3y</v>
          </cell>
          <cell r="H2" t="str">
            <v>gpt|no_guideline|1</v>
          </cell>
        </row>
        <row r="3">
          <cell r="D3" t="str">
            <v>Screen_1y</v>
          </cell>
          <cell r="E3" t="str">
            <v>Screen_3y</v>
          </cell>
          <cell r="H3" t="str">
            <v>gpt|no_guideline|2</v>
          </cell>
        </row>
        <row r="4">
          <cell r="D4" t="str">
            <v>Screen_1y</v>
          </cell>
          <cell r="E4" t="str">
            <v>Screen_3y</v>
          </cell>
          <cell r="H4" t="str">
            <v>gpt|no_guideline|11</v>
          </cell>
        </row>
        <row r="5">
          <cell r="D5" t="str">
            <v>Confirm</v>
          </cell>
          <cell r="E5" t="str">
            <v>Screen_1y</v>
          </cell>
          <cell r="H5" t="str">
            <v>gpt|no_guideline|12</v>
          </cell>
        </row>
        <row r="6">
          <cell r="D6" t="str">
            <v>Screen_1y</v>
          </cell>
          <cell r="E6" t="str">
            <v>Screen_3y</v>
          </cell>
          <cell r="H6" t="str">
            <v>gpt|no_guideline|13</v>
          </cell>
        </row>
        <row r="7">
          <cell r="D7" t="str">
            <v>Confirm</v>
          </cell>
          <cell r="E7" t="str">
            <v>Screen_1y</v>
          </cell>
          <cell r="H7" t="str">
            <v>gpt|no_guideline|14</v>
          </cell>
        </row>
        <row r="8">
          <cell r="D8" t="str">
            <v>Confirm</v>
          </cell>
          <cell r="E8" t="str">
            <v>Confirm</v>
          </cell>
          <cell r="H8" t="str">
            <v>gpt|no_guideline|26</v>
          </cell>
        </row>
        <row r="9">
          <cell r="D9" t="str">
            <v>Confirm</v>
          </cell>
          <cell r="E9" t="str">
            <v>Confirm</v>
          </cell>
          <cell r="H9" t="str">
            <v>gpt|no_guideline|31</v>
          </cell>
        </row>
        <row r="10">
          <cell r="D10" t="str">
            <v>Confirm</v>
          </cell>
          <cell r="E10" t="str">
            <v>Confirm</v>
          </cell>
          <cell r="H10" t="str">
            <v>gpt|no_guideline|33</v>
          </cell>
        </row>
        <row r="11">
          <cell r="D11" t="str">
            <v>ConfirmPromptly</v>
          </cell>
          <cell r="E11" t="str">
            <v>ConfirmPromptly</v>
          </cell>
          <cell r="H11" t="str">
            <v>gpt|no_guideline|41</v>
          </cell>
        </row>
        <row r="12">
          <cell r="D12" t="str">
            <v>ConfirmPromptly</v>
          </cell>
          <cell r="E12" t="str">
            <v>ConfirmPromptly</v>
          </cell>
          <cell r="H12" t="str">
            <v>gpt|no_guideline|44</v>
          </cell>
        </row>
        <row r="13">
          <cell r="D13" t="str">
            <v>ConfirmPromptly</v>
          </cell>
          <cell r="E13" t="str">
            <v>Confirm</v>
          </cell>
          <cell r="H13" t="str">
            <v>gpt|no_guideline|45</v>
          </cell>
        </row>
        <row r="14">
          <cell r="D14" t="str">
            <v>EvaluateEmergency</v>
          </cell>
          <cell r="E14" t="str">
            <v>ConfirmPromptly</v>
          </cell>
          <cell r="H14" t="str">
            <v>gpt|no_guideline|51</v>
          </cell>
        </row>
        <row r="15">
          <cell r="D15" t="str">
            <v>EvaluateEmergency</v>
          </cell>
          <cell r="E15" t="str">
            <v>ConfirmPromptly</v>
          </cell>
          <cell r="H15" t="str">
            <v>gpt|no_guideline|59</v>
          </cell>
        </row>
        <row r="16">
          <cell r="D16" t="str">
            <v>EvaluateEmergency</v>
          </cell>
          <cell r="E16" t="str">
            <v>Confirm</v>
          </cell>
          <cell r="H16" t="str">
            <v>gpt|no_guideline|56</v>
          </cell>
        </row>
        <row r="17">
          <cell r="D17" t="str">
            <v>Screen_3y</v>
          </cell>
          <cell r="E17" t="str">
            <v>Screen_3y</v>
          </cell>
          <cell r="H17" t="str">
            <v>gpt|with_guideline|1</v>
          </cell>
        </row>
        <row r="18">
          <cell r="D18" t="str">
            <v>Screen_1y</v>
          </cell>
          <cell r="E18" t="str">
            <v>Screen_1y</v>
          </cell>
          <cell r="H18" t="str">
            <v>gpt|with_guideline|2</v>
          </cell>
        </row>
        <row r="19">
          <cell r="D19" t="str">
            <v>Screen_1y</v>
          </cell>
          <cell r="E19" t="str">
            <v>Screen_1y</v>
          </cell>
          <cell r="H19" t="str">
            <v>gpt|with_guideline|11</v>
          </cell>
        </row>
        <row r="20">
          <cell r="D20" t="str">
            <v>Confirm</v>
          </cell>
          <cell r="E20" t="str">
            <v>Confirm</v>
          </cell>
          <cell r="H20" t="str">
            <v>gpt|with_guideline|12</v>
          </cell>
        </row>
        <row r="21">
          <cell r="D21" t="str">
            <v>Screen_1y</v>
          </cell>
          <cell r="E21" t="str">
            <v>Screen_1y</v>
          </cell>
          <cell r="H21" t="str">
            <v>gpt|with_guideline|13</v>
          </cell>
        </row>
        <row r="22">
          <cell r="D22" t="str">
            <v>Confirm</v>
          </cell>
          <cell r="E22" t="str">
            <v>Confirm</v>
          </cell>
          <cell r="H22" t="str">
            <v>gpt|with_guideline|14</v>
          </cell>
        </row>
        <row r="23">
          <cell r="D23" t="str">
            <v>Confirm</v>
          </cell>
          <cell r="E23" t="str">
            <v>Confirm</v>
          </cell>
          <cell r="H23" t="str">
            <v>gpt|with_guideline|26</v>
          </cell>
        </row>
        <row r="24">
          <cell r="D24" t="str">
            <v>Confirm</v>
          </cell>
          <cell r="E24" t="str">
            <v>Confirm</v>
          </cell>
          <cell r="H24" t="str">
            <v>gpt|with_guideline|31</v>
          </cell>
        </row>
        <row r="25">
          <cell r="D25" t="str">
            <v>Confirm</v>
          </cell>
          <cell r="E25" t="str">
            <v>Confirm</v>
          </cell>
          <cell r="H25" t="str">
            <v>gpt|with_guideline|33</v>
          </cell>
        </row>
        <row r="26">
          <cell r="D26" t="str">
            <v>ConfirmPromptly</v>
          </cell>
          <cell r="E26" t="str">
            <v>ConfirmPromptly</v>
          </cell>
          <cell r="H26" t="str">
            <v>gpt|with_guideline|41</v>
          </cell>
        </row>
        <row r="27">
          <cell r="D27" t="str">
            <v>ConfirmPromptly</v>
          </cell>
          <cell r="E27" t="str">
            <v>ConfirmPromptly</v>
          </cell>
          <cell r="H27" t="str">
            <v>gpt|with_guideline|44</v>
          </cell>
        </row>
        <row r="28">
          <cell r="D28" t="str">
            <v>ConfirmPromptly</v>
          </cell>
          <cell r="E28" t="str">
            <v>ConfirmPromptly</v>
          </cell>
          <cell r="H28" t="str">
            <v>gpt|with_guideline|45</v>
          </cell>
        </row>
        <row r="29">
          <cell r="D29" t="str">
            <v>EvaluateEmergency</v>
          </cell>
          <cell r="E29" t="str">
            <v>EvaluateEmergency</v>
          </cell>
          <cell r="H29" t="str">
            <v>gpt|with_guideline|51</v>
          </cell>
        </row>
        <row r="30">
          <cell r="D30" t="str">
            <v>EvaluateEmergency</v>
          </cell>
          <cell r="E30" t="str">
            <v>EvaluateEmergency</v>
          </cell>
          <cell r="H30" t="str">
            <v>gpt|with_guideline|59</v>
          </cell>
        </row>
        <row r="31">
          <cell r="D31" t="str">
            <v>EvaluateEmergency</v>
          </cell>
          <cell r="E31" t="str">
            <v>EvaluateEmergency</v>
          </cell>
          <cell r="H31" t="str">
            <v>gpt|with_guideline|56</v>
          </cell>
        </row>
        <row r="32">
          <cell r="D32" t="str">
            <v>Screen_3y</v>
          </cell>
          <cell r="E32" t="str">
            <v>Screen_3y</v>
          </cell>
          <cell r="H32" t="str">
            <v>claude|no_guideline|1</v>
          </cell>
        </row>
        <row r="33">
          <cell r="D33" t="str">
            <v>Screen_1y</v>
          </cell>
          <cell r="E33" t="str">
            <v>Screen_3y</v>
          </cell>
          <cell r="H33" t="str">
            <v>claude|no_guideline|2</v>
          </cell>
        </row>
        <row r="34">
          <cell r="D34" t="str">
            <v>Screen_1y</v>
          </cell>
          <cell r="E34" t="str">
            <v>Screen_3y</v>
          </cell>
          <cell r="H34" t="str">
            <v>claude|no_guideline|11</v>
          </cell>
        </row>
        <row r="35">
          <cell r="D35" t="str">
            <v>Confirm</v>
          </cell>
          <cell r="E35" t="str">
            <v>PARSE_ERROR</v>
          </cell>
          <cell r="H35" t="str">
            <v>claude|no_guideline|12</v>
          </cell>
        </row>
        <row r="36">
          <cell r="D36" t="str">
            <v>Screen_1y</v>
          </cell>
          <cell r="E36" t="str">
            <v>PARSE_ERROR</v>
          </cell>
          <cell r="H36" t="str">
            <v>claude|no_guideline|13</v>
          </cell>
        </row>
        <row r="37">
          <cell r="D37" t="str">
            <v>Confirm</v>
          </cell>
          <cell r="E37" t="str">
            <v>PARSE_ERROR</v>
          </cell>
          <cell r="H37" t="str">
            <v>claude|no_guideline|14</v>
          </cell>
        </row>
        <row r="38">
          <cell r="D38" t="str">
            <v>Confirm</v>
          </cell>
          <cell r="E38" t="str">
            <v>PARSE_ERROR</v>
          </cell>
          <cell r="H38" t="str">
            <v>claude|no_guideline|26</v>
          </cell>
        </row>
        <row r="39">
          <cell r="D39" t="str">
            <v>Confirm</v>
          </cell>
          <cell r="E39" t="str">
            <v>PARSE_ERROR</v>
          </cell>
          <cell r="H39" t="str">
            <v>claude|no_guideline|31</v>
          </cell>
        </row>
        <row r="40">
          <cell r="D40" t="str">
            <v>Confirm</v>
          </cell>
          <cell r="E40" t="str">
            <v>PARSE_ERROR</v>
          </cell>
          <cell r="H40" t="str">
            <v>claude|no_guideline|33</v>
          </cell>
        </row>
        <row r="41">
          <cell r="D41" t="str">
            <v>ConfirmPromptly</v>
          </cell>
          <cell r="E41" t="str">
            <v>ConfirmPromptly</v>
          </cell>
          <cell r="H41" t="str">
            <v>claude|no_guideline|41</v>
          </cell>
        </row>
        <row r="42">
          <cell r="D42" t="str">
            <v>ConfirmPromptly</v>
          </cell>
          <cell r="E42" t="str">
            <v>PARSE_ERROR</v>
          </cell>
          <cell r="H42" t="str">
            <v>claude|no_guideline|44</v>
          </cell>
        </row>
        <row r="43">
          <cell r="D43" t="str">
            <v>ConfirmPromptly</v>
          </cell>
          <cell r="E43" t="str">
            <v>PARSE_ERROR</v>
          </cell>
          <cell r="H43" t="str">
            <v>claude|no_guideline|45</v>
          </cell>
        </row>
        <row r="44">
          <cell r="D44" t="str">
            <v>EvaluateEmergency</v>
          </cell>
          <cell r="E44" t="str">
            <v>PARSE_ERROR</v>
          </cell>
          <cell r="H44" t="str">
            <v>claude|no_guideline|51</v>
          </cell>
        </row>
        <row r="45">
          <cell r="D45" t="str">
            <v>EvaluateEmergency</v>
          </cell>
          <cell r="E45" t="str">
            <v>PARSE_ERROR</v>
          </cell>
          <cell r="H45" t="str">
            <v>claude|no_guideline|59</v>
          </cell>
        </row>
        <row r="46">
          <cell r="D46" t="str">
            <v>EvaluateEmergency</v>
          </cell>
          <cell r="E46" t="str">
            <v>PARSE_ERROR</v>
          </cell>
          <cell r="H46" t="str">
            <v>claude|no_guideline|56</v>
          </cell>
        </row>
        <row r="47">
          <cell r="D47" t="str">
            <v>Screen_3y</v>
          </cell>
          <cell r="E47" t="str">
            <v>Screen_3y</v>
          </cell>
          <cell r="H47" t="str">
            <v>claude|with_guideline|1</v>
          </cell>
        </row>
        <row r="48">
          <cell r="D48" t="str">
            <v>Screen_1y</v>
          </cell>
          <cell r="E48" t="str">
            <v>Screen_1y</v>
          </cell>
          <cell r="H48" t="str">
            <v>claude|with_guideline|2</v>
          </cell>
        </row>
        <row r="49">
          <cell r="D49" t="str">
            <v>Screen_1y</v>
          </cell>
          <cell r="E49" t="str">
            <v>Screen_1y</v>
          </cell>
          <cell r="H49" t="str">
            <v>claude|with_guideline|11</v>
          </cell>
        </row>
        <row r="50">
          <cell r="D50" t="str">
            <v>Confirm</v>
          </cell>
          <cell r="E50" t="str">
            <v>PARSE_ERROR</v>
          </cell>
          <cell r="H50" t="str">
            <v>claude|with_guideline|12</v>
          </cell>
        </row>
        <row r="51">
          <cell r="D51" t="str">
            <v>Screen_1y</v>
          </cell>
          <cell r="E51" t="str">
            <v>Screen_1y</v>
          </cell>
          <cell r="H51" t="str">
            <v>claude|with_guideline|13</v>
          </cell>
        </row>
        <row r="52">
          <cell r="D52" t="str">
            <v>Confirm</v>
          </cell>
          <cell r="E52" t="str">
            <v>PARSE_ERROR</v>
          </cell>
          <cell r="H52" t="str">
            <v>claude|with_guideline|14</v>
          </cell>
        </row>
        <row r="53">
          <cell r="D53" t="str">
            <v>Confirm</v>
          </cell>
          <cell r="E53" t="str">
            <v>Confirm</v>
          </cell>
          <cell r="H53" t="str">
            <v>claude|with_guideline|26</v>
          </cell>
        </row>
        <row r="54">
          <cell r="D54" t="str">
            <v>Confirm</v>
          </cell>
          <cell r="E54" t="str">
            <v>PARSE_ERROR</v>
          </cell>
          <cell r="H54" t="str">
            <v>claude|with_guideline|31</v>
          </cell>
        </row>
        <row r="55">
          <cell r="D55" t="str">
            <v>Confirm</v>
          </cell>
          <cell r="E55" t="str">
            <v>Confirm</v>
          </cell>
          <cell r="H55" t="str">
            <v>claude|with_guideline|33</v>
          </cell>
        </row>
        <row r="56">
          <cell r="D56" t="str">
            <v>ConfirmPromptly</v>
          </cell>
          <cell r="E56" t="str">
            <v>ConfirmPromptly</v>
          </cell>
          <cell r="H56" t="str">
            <v>claude|with_guideline|41</v>
          </cell>
        </row>
        <row r="57">
          <cell r="D57" t="str">
            <v>ConfirmPromptly</v>
          </cell>
          <cell r="E57" t="str">
            <v>ConfirmPromptly</v>
          </cell>
          <cell r="H57" t="str">
            <v>claude|with_guideline|44</v>
          </cell>
        </row>
        <row r="58">
          <cell r="D58" t="str">
            <v>ConfirmPromptly</v>
          </cell>
          <cell r="E58" t="str">
            <v>PARSE_ERROR</v>
          </cell>
          <cell r="H58" t="str">
            <v>claude|with_guideline|45</v>
          </cell>
        </row>
        <row r="59">
          <cell r="D59" t="str">
            <v>EvaluateEmergency</v>
          </cell>
          <cell r="E59" t="str">
            <v>EvaluateEmergency</v>
          </cell>
          <cell r="H59" t="str">
            <v>claude|with_guideline|51</v>
          </cell>
        </row>
        <row r="60">
          <cell r="D60" t="str">
            <v>EvaluateEmergency</v>
          </cell>
          <cell r="E60" t="str">
            <v>EvaluateEmergency</v>
          </cell>
          <cell r="H60" t="str">
            <v>claude|with_guideline|59</v>
          </cell>
        </row>
        <row r="61">
          <cell r="D61" t="str">
            <v>EvaluateEmergency</v>
          </cell>
          <cell r="E61" t="str">
            <v>PARSE_ERROR</v>
          </cell>
          <cell r="H61" t="str">
            <v>claude|with_guideline|56</v>
          </cell>
        </row>
        <row r="62">
          <cell r="D62" t="str">
            <v>Screen_3y</v>
          </cell>
          <cell r="E62" t="str">
            <v>Screen_3y</v>
          </cell>
          <cell r="H62" t="str">
            <v>gemini|no_guideline|1</v>
          </cell>
        </row>
        <row r="63">
          <cell r="D63" t="str">
            <v>Screen_1y</v>
          </cell>
          <cell r="E63" t="str">
            <v>Screen_3y</v>
          </cell>
          <cell r="H63" t="str">
            <v>gemini|no_guideline|2</v>
          </cell>
        </row>
        <row r="64">
          <cell r="D64" t="str">
            <v>Screen_1y</v>
          </cell>
          <cell r="E64" t="str">
            <v>Screen_3y</v>
          </cell>
          <cell r="H64" t="str">
            <v>gemini|no_guideline|11</v>
          </cell>
        </row>
        <row r="65">
          <cell r="D65" t="str">
            <v>Confirm</v>
          </cell>
          <cell r="E65" t="str">
            <v>Screen_1y</v>
          </cell>
          <cell r="H65" t="str">
            <v>gemini|no_guideline|12</v>
          </cell>
        </row>
        <row r="66">
          <cell r="D66" t="str">
            <v>Screen_1y</v>
          </cell>
          <cell r="E66" t="str">
            <v>Screen_3y</v>
          </cell>
          <cell r="H66" t="str">
            <v>gemini|no_guideline|13</v>
          </cell>
        </row>
        <row r="67">
          <cell r="D67" t="str">
            <v>Confirm</v>
          </cell>
          <cell r="E67" t="str">
            <v>Screen_1y</v>
          </cell>
          <cell r="H67" t="str">
            <v>gemini|no_guideline|14</v>
          </cell>
        </row>
        <row r="68">
          <cell r="D68" t="str">
            <v>Confirm</v>
          </cell>
          <cell r="E68" t="str">
            <v>Confirm</v>
          </cell>
          <cell r="H68" t="str">
            <v>gemini|no_guideline|26</v>
          </cell>
        </row>
        <row r="69">
          <cell r="D69" t="str">
            <v>Confirm</v>
          </cell>
          <cell r="E69" t="str">
            <v>Screen_1y</v>
          </cell>
          <cell r="H69" t="str">
            <v>gemini|no_guideline|31</v>
          </cell>
        </row>
        <row r="70">
          <cell r="D70" t="str">
            <v>Confirm</v>
          </cell>
          <cell r="E70" t="str">
            <v>Confirm</v>
          </cell>
          <cell r="H70" t="str">
            <v>gemini|no_guideline|33</v>
          </cell>
        </row>
        <row r="71">
          <cell r="D71" t="str">
            <v>ConfirmPromptly</v>
          </cell>
          <cell r="E71" t="str">
            <v>ConfirmPromptly</v>
          </cell>
          <cell r="H71" t="str">
            <v>gemini|no_guideline|41</v>
          </cell>
        </row>
        <row r="72">
          <cell r="D72" t="str">
            <v>ConfirmPromptly</v>
          </cell>
          <cell r="E72" t="str">
            <v>ConfirmPromptly</v>
          </cell>
          <cell r="H72" t="str">
            <v>gemini|no_guideline|44</v>
          </cell>
        </row>
        <row r="73">
          <cell r="D73" t="str">
            <v>ConfirmPromptly</v>
          </cell>
          <cell r="E73" t="str">
            <v>ConfirmPromptly</v>
          </cell>
          <cell r="H73" t="str">
            <v>gemini|no_guideline|45</v>
          </cell>
        </row>
        <row r="74">
          <cell r="D74" t="str">
            <v>EvaluateEmergency</v>
          </cell>
          <cell r="E74" t="str">
            <v>ConfirmPromptly</v>
          </cell>
          <cell r="H74" t="str">
            <v>gemini|no_guideline|51</v>
          </cell>
        </row>
        <row r="75">
          <cell r="D75" t="str">
            <v>EvaluateEmergency</v>
          </cell>
          <cell r="E75" t="str">
            <v>ConfirmPromptly</v>
          </cell>
          <cell r="H75" t="str">
            <v>gemini|no_guideline|59</v>
          </cell>
        </row>
        <row r="76">
          <cell r="D76" t="str">
            <v>EvaluateEmergency</v>
          </cell>
          <cell r="E76" t="str">
            <v>ConfirmPromptly</v>
          </cell>
          <cell r="H76" t="str">
            <v>gemini|no_guideline|56</v>
          </cell>
        </row>
        <row r="77">
          <cell r="D77" t="str">
            <v>Screen_3y</v>
          </cell>
          <cell r="E77" t="str">
            <v>Screen_3y</v>
          </cell>
          <cell r="H77" t="str">
            <v>gemini|with_guideline|1</v>
          </cell>
        </row>
        <row r="78">
          <cell r="D78" t="str">
            <v>Screen_1y</v>
          </cell>
          <cell r="E78" t="str">
            <v>Screen_1y</v>
          </cell>
          <cell r="H78" t="str">
            <v>gemini|with_guideline|2</v>
          </cell>
        </row>
        <row r="79">
          <cell r="D79" t="str">
            <v>Screen_1y</v>
          </cell>
          <cell r="E79" t="str">
            <v>Screen_1y</v>
          </cell>
          <cell r="H79" t="str">
            <v>gemini|with_guideline|11</v>
          </cell>
        </row>
        <row r="80">
          <cell r="D80" t="str">
            <v>Confirm</v>
          </cell>
          <cell r="E80" t="str">
            <v>Confirm</v>
          </cell>
          <cell r="H80" t="str">
            <v>gemini|with_guideline|12</v>
          </cell>
        </row>
        <row r="81">
          <cell r="D81" t="str">
            <v>Screen_1y</v>
          </cell>
          <cell r="E81" t="str">
            <v>Screen_1y</v>
          </cell>
          <cell r="H81" t="str">
            <v>gemini|with_guideline|13</v>
          </cell>
        </row>
        <row r="82">
          <cell r="D82" t="str">
            <v>Confirm</v>
          </cell>
          <cell r="E82" t="str">
            <v>Confirm</v>
          </cell>
          <cell r="H82" t="str">
            <v>gemini|with_guideline|14</v>
          </cell>
        </row>
        <row r="83">
          <cell r="D83" t="str">
            <v>Confirm</v>
          </cell>
          <cell r="E83" t="str">
            <v>Confirm</v>
          </cell>
          <cell r="H83" t="str">
            <v>gemini|with_guideline|26</v>
          </cell>
        </row>
        <row r="84">
          <cell r="D84" t="str">
            <v>Confirm</v>
          </cell>
          <cell r="E84" t="str">
            <v>Confirm</v>
          </cell>
          <cell r="H84" t="str">
            <v>gemini|with_guideline|31</v>
          </cell>
        </row>
        <row r="85">
          <cell r="D85" t="str">
            <v>Confirm</v>
          </cell>
          <cell r="E85" t="str">
            <v>Confirm</v>
          </cell>
          <cell r="H85" t="str">
            <v>gemini|with_guideline|33</v>
          </cell>
        </row>
        <row r="86">
          <cell r="D86" t="str">
            <v>ConfirmPromptly</v>
          </cell>
          <cell r="E86" t="str">
            <v>ConfirmPromptly</v>
          </cell>
          <cell r="H86" t="str">
            <v>gemini|with_guideline|41</v>
          </cell>
        </row>
        <row r="87">
          <cell r="D87" t="str">
            <v>ConfirmPromptly</v>
          </cell>
          <cell r="E87" t="str">
            <v>ConfirmPromptly</v>
          </cell>
          <cell r="H87" t="str">
            <v>gemini|with_guideline|44</v>
          </cell>
        </row>
        <row r="88">
          <cell r="D88" t="str">
            <v>ConfirmPromptly</v>
          </cell>
          <cell r="E88" t="str">
            <v>ConfirmPromptly</v>
          </cell>
          <cell r="H88" t="str">
            <v>gemini|with_guideline|45</v>
          </cell>
        </row>
        <row r="89">
          <cell r="D89" t="str">
            <v>EvaluateEmergency</v>
          </cell>
          <cell r="E89" t="str">
            <v>EvaluateEmergency</v>
          </cell>
          <cell r="H89" t="str">
            <v>gemini|with_guideline|51</v>
          </cell>
        </row>
        <row r="90">
          <cell r="D90" t="str">
            <v>EvaluateEmergency</v>
          </cell>
          <cell r="E90" t="str">
            <v>EvaluateEmergency</v>
          </cell>
          <cell r="H90" t="str">
            <v>gemini|with_guideline|59</v>
          </cell>
        </row>
        <row r="91">
          <cell r="D91" t="str">
            <v>EvaluateEmergency</v>
          </cell>
          <cell r="E91" t="str">
            <v>EvaluateEmergency</v>
          </cell>
          <cell r="H91" t="str">
            <v>gemini|with_guideline|56</v>
          </cell>
        </row>
        <row r="92">
          <cell r="D92" t="str">
            <v>Screen_3y</v>
          </cell>
          <cell r="E92" t="str">
            <v>Screen_3y</v>
          </cell>
          <cell r="H92" t="str">
            <v>llama|no_guideline|1</v>
          </cell>
        </row>
        <row r="93">
          <cell r="D93" t="str">
            <v>Screen_1y</v>
          </cell>
          <cell r="E93" t="str">
            <v>Screen_3y</v>
          </cell>
          <cell r="H93" t="str">
            <v>llama|no_guideline|2</v>
          </cell>
        </row>
        <row r="94">
          <cell r="D94" t="str">
            <v>Screen_1y</v>
          </cell>
          <cell r="E94" t="str">
            <v>Screen_3y</v>
          </cell>
          <cell r="H94" t="str">
            <v>llama|no_guideline|11</v>
          </cell>
        </row>
        <row r="95">
          <cell r="D95" t="str">
            <v>Confirm</v>
          </cell>
          <cell r="E95" t="str">
            <v>Screen_1y</v>
          </cell>
          <cell r="H95" t="str">
            <v>llama|no_guideline|12</v>
          </cell>
        </row>
        <row r="96">
          <cell r="D96" t="str">
            <v>Screen_1y</v>
          </cell>
          <cell r="E96" t="str">
            <v>Screen_3y</v>
          </cell>
          <cell r="H96" t="str">
            <v>llama|no_guideline|13</v>
          </cell>
        </row>
        <row r="97">
          <cell r="D97" t="str">
            <v>Confirm</v>
          </cell>
          <cell r="E97" t="str">
            <v>Screen_1y</v>
          </cell>
          <cell r="H97" t="str">
            <v>llama|no_guideline|14</v>
          </cell>
        </row>
        <row r="98">
          <cell r="D98" t="str">
            <v>Confirm</v>
          </cell>
          <cell r="E98" t="str">
            <v>Confirm</v>
          </cell>
          <cell r="H98" t="str">
            <v>llama|no_guideline|26</v>
          </cell>
        </row>
        <row r="99">
          <cell r="D99" t="str">
            <v>Confirm</v>
          </cell>
          <cell r="E99" t="str">
            <v>PARSE_ERROR</v>
          </cell>
          <cell r="H99" t="str">
            <v>llama|no_guideline|31</v>
          </cell>
        </row>
        <row r="100">
          <cell r="D100" t="str">
            <v>Confirm</v>
          </cell>
          <cell r="E100" t="str">
            <v>PARSE_ERROR</v>
          </cell>
          <cell r="H100" t="str">
            <v>llama|no_guideline|33</v>
          </cell>
        </row>
        <row r="101">
          <cell r="D101" t="str">
            <v>ConfirmPromptly</v>
          </cell>
          <cell r="E101" t="str">
            <v>ConfirmPromptly</v>
          </cell>
          <cell r="H101" t="str">
            <v>llama|no_guideline|41</v>
          </cell>
        </row>
        <row r="102">
          <cell r="D102" t="str">
            <v>ConfirmPromptly</v>
          </cell>
          <cell r="E102" t="str">
            <v>ConfirmPromptly</v>
          </cell>
          <cell r="H102" t="str">
            <v>llama|no_guideline|44</v>
          </cell>
        </row>
        <row r="103">
          <cell r="D103" t="str">
            <v>ConfirmPromptly</v>
          </cell>
          <cell r="E103" t="str">
            <v>PARSE_ERROR</v>
          </cell>
          <cell r="H103" t="str">
            <v>llama|no_guideline|45</v>
          </cell>
        </row>
        <row r="104">
          <cell r="D104" t="str">
            <v>EvaluateEmergency</v>
          </cell>
          <cell r="E104" t="str">
            <v>ConfirmPromptly</v>
          </cell>
          <cell r="H104" t="str">
            <v>llama|no_guideline|51</v>
          </cell>
        </row>
        <row r="105">
          <cell r="D105" t="str">
            <v>EvaluateEmergency</v>
          </cell>
          <cell r="E105" t="str">
            <v>ConfirmPromptly</v>
          </cell>
          <cell r="H105" t="str">
            <v>llama|no_guideline|59</v>
          </cell>
        </row>
        <row r="106">
          <cell r="D106" t="str">
            <v>EvaluateEmergency</v>
          </cell>
          <cell r="E106" t="str">
            <v>ConfirmPromptly</v>
          </cell>
          <cell r="H106" t="str">
            <v>llama|no_guideline|56</v>
          </cell>
        </row>
        <row r="107">
          <cell r="D107" t="str">
            <v>Screen_3y</v>
          </cell>
          <cell r="E107" t="str">
            <v>PARSE_ERROR</v>
          </cell>
          <cell r="H107" t="str">
            <v>llama|with_guideline|1</v>
          </cell>
        </row>
        <row r="108">
          <cell r="D108" t="str">
            <v>Screen_1y</v>
          </cell>
          <cell r="E108" t="str">
            <v>PARSE_ERROR</v>
          </cell>
          <cell r="H108" t="str">
            <v>llama|with_guideline|2</v>
          </cell>
        </row>
        <row r="109">
          <cell r="D109" t="str">
            <v>Screen_1y</v>
          </cell>
          <cell r="E109" t="str">
            <v>PARSE_ERROR</v>
          </cell>
          <cell r="H109" t="str">
            <v>llama|with_guideline|11</v>
          </cell>
        </row>
        <row r="110">
          <cell r="D110" t="str">
            <v>Confirm</v>
          </cell>
          <cell r="E110" t="str">
            <v>PARSE_ERROR</v>
          </cell>
          <cell r="H110" t="str">
            <v>llama|with_guideline|12</v>
          </cell>
        </row>
        <row r="111">
          <cell r="D111" t="str">
            <v>Screen_1y</v>
          </cell>
          <cell r="E111" t="str">
            <v>PARSE_ERROR</v>
          </cell>
          <cell r="H111" t="str">
            <v>llama|with_guideline|13</v>
          </cell>
        </row>
        <row r="112">
          <cell r="D112" t="str">
            <v>Confirm</v>
          </cell>
          <cell r="E112" t="str">
            <v>PARSE_ERROR</v>
          </cell>
          <cell r="H112" t="str">
            <v>llama|with_guideline|14</v>
          </cell>
        </row>
        <row r="113">
          <cell r="D113" t="str">
            <v>Confirm</v>
          </cell>
          <cell r="E113" t="str">
            <v>PARSE_ERROR</v>
          </cell>
          <cell r="H113" t="str">
            <v>llama|with_guideline|26</v>
          </cell>
        </row>
        <row r="114">
          <cell r="D114" t="str">
            <v>Confirm</v>
          </cell>
          <cell r="E114" t="str">
            <v>PARSE_ERROR</v>
          </cell>
          <cell r="H114" t="str">
            <v>llama|with_guideline|31</v>
          </cell>
        </row>
        <row r="115">
          <cell r="D115" t="str">
            <v>Confirm</v>
          </cell>
          <cell r="E115" t="str">
            <v>PARSE_ERROR</v>
          </cell>
          <cell r="H115" t="str">
            <v>llama|with_guideline|33</v>
          </cell>
        </row>
        <row r="116">
          <cell r="D116" t="str">
            <v>ConfirmPromptly</v>
          </cell>
          <cell r="E116" t="str">
            <v>PARSE_ERROR</v>
          </cell>
          <cell r="H116" t="str">
            <v>llama|with_guideline|41</v>
          </cell>
        </row>
        <row r="117">
          <cell r="D117" t="str">
            <v>ConfirmPromptly</v>
          </cell>
          <cell r="E117" t="str">
            <v>PARSE_ERROR</v>
          </cell>
          <cell r="H117" t="str">
            <v>llama|with_guideline|44</v>
          </cell>
        </row>
        <row r="118">
          <cell r="D118" t="str">
            <v>ConfirmPromptly</v>
          </cell>
          <cell r="E118" t="str">
            <v>PARSE_ERROR</v>
          </cell>
          <cell r="H118" t="str">
            <v>llama|with_guideline|45</v>
          </cell>
        </row>
        <row r="119">
          <cell r="D119" t="str">
            <v>EvaluateEmergency</v>
          </cell>
          <cell r="E119" t="str">
            <v>PARSE_ERROR</v>
          </cell>
          <cell r="H119" t="str">
            <v>llama|with_guideline|51</v>
          </cell>
        </row>
        <row r="120">
          <cell r="D120" t="str">
            <v>EvaluateEmergency</v>
          </cell>
          <cell r="E120" t="str">
            <v>PARSE_ERROR</v>
          </cell>
          <cell r="H120" t="str">
            <v>llama|with_guideline|59</v>
          </cell>
        </row>
        <row r="121">
          <cell r="D121" t="str">
            <v>EvaluateEmergency</v>
          </cell>
          <cell r="E121" t="str">
            <v>PARSE_ERROR</v>
          </cell>
          <cell r="H121" t="str">
            <v>llama|with_guideline|56</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s"/>
      <sheetName val="Summary"/>
      <sheetName val="Patient Difficulty"/>
    </sheetNames>
    <sheetDataSet>
      <sheetData sheetId="0">
        <row r="1">
          <cell r="D1" t="str">
            <v>Expected</v>
          </cell>
          <cell r="E1" t="str">
            <v>Model Decision</v>
          </cell>
          <cell r="H1" t="str">
            <v>Key</v>
          </cell>
        </row>
        <row r="2">
          <cell r="D2" t="str">
            <v>Group1</v>
          </cell>
          <cell r="E2" t="str">
            <v>Group1</v>
          </cell>
          <cell r="H2" t="str">
            <v>gpt|no_guideline|1</v>
          </cell>
        </row>
        <row r="3">
          <cell r="D3" t="str">
            <v>Group1</v>
          </cell>
          <cell r="E3" t="str">
            <v>Group1</v>
          </cell>
          <cell r="H3" t="str">
            <v>gpt|no_guideline|11</v>
          </cell>
        </row>
        <row r="4">
          <cell r="D4" t="str">
            <v>Group2</v>
          </cell>
          <cell r="E4" t="str">
            <v>Group2</v>
          </cell>
          <cell r="H4" t="str">
            <v>gpt|no_guideline|12</v>
          </cell>
        </row>
        <row r="5">
          <cell r="D5" t="str">
            <v>Group1</v>
          </cell>
          <cell r="E5" t="str">
            <v>Group1</v>
          </cell>
          <cell r="H5" t="str">
            <v>gpt|no_guideline|13</v>
          </cell>
        </row>
        <row r="6">
          <cell r="D6" t="str">
            <v>Group2</v>
          </cell>
          <cell r="E6" t="str">
            <v>Group2</v>
          </cell>
          <cell r="H6" t="str">
            <v>gpt|no_guideline|14</v>
          </cell>
        </row>
        <row r="7">
          <cell r="D7" t="str">
            <v>Group1</v>
          </cell>
          <cell r="E7" t="str">
            <v>Group2</v>
          </cell>
          <cell r="H7" t="str">
            <v>gpt|no_guideline|15</v>
          </cell>
        </row>
        <row r="8">
          <cell r="D8" t="str">
            <v>Group2</v>
          </cell>
          <cell r="E8" t="str">
            <v>Group2</v>
          </cell>
          <cell r="H8" t="str">
            <v>gpt|no_guideline|16</v>
          </cell>
        </row>
        <row r="9">
          <cell r="D9" t="str">
            <v>Group1</v>
          </cell>
          <cell r="E9" t="str">
            <v>Group1</v>
          </cell>
          <cell r="H9" t="str">
            <v>gpt|no_guideline|17</v>
          </cell>
        </row>
        <row r="10">
          <cell r="D10" t="str">
            <v>Group2</v>
          </cell>
          <cell r="E10" t="str">
            <v>Group1</v>
          </cell>
          <cell r="H10" t="str">
            <v>gpt|no_guideline|18</v>
          </cell>
        </row>
        <row r="11">
          <cell r="D11" t="str">
            <v>Group1</v>
          </cell>
          <cell r="E11" t="str">
            <v>Group2</v>
          </cell>
          <cell r="H11" t="str">
            <v>gpt|no_guideline|19</v>
          </cell>
        </row>
        <row r="12">
          <cell r="D12" t="str">
            <v>Group2</v>
          </cell>
          <cell r="E12" t="str">
            <v>Group2</v>
          </cell>
          <cell r="H12" t="str">
            <v>gpt|no_guideline|20</v>
          </cell>
        </row>
        <row r="13">
          <cell r="D13" t="str">
            <v>Group2</v>
          </cell>
          <cell r="E13" t="str">
            <v>Group2</v>
          </cell>
          <cell r="H13" t="str">
            <v>gpt|no_guideline|21</v>
          </cell>
        </row>
        <row r="14">
          <cell r="D14" t="str">
            <v>Group1</v>
          </cell>
          <cell r="E14" t="str">
            <v>Group1</v>
          </cell>
          <cell r="H14" t="str">
            <v>gpt|no_guideline|22</v>
          </cell>
        </row>
        <row r="15">
          <cell r="D15" t="str">
            <v>Group2</v>
          </cell>
          <cell r="E15" t="str">
            <v>Group1</v>
          </cell>
          <cell r="H15" t="str">
            <v>gpt|no_guideline|31</v>
          </cell>
        </row>
        <row r="16">
          <cell r="D16" t="str">
            <v>Group3</v>
          </cell>
          <cell r="E16" t="str">
            <v>Group2</v>
          </cell>
          <cell r="H16" t="str">
            <v>gpt|no_guideline|32</v>
          </cell>
        </row>
        <row r="17">
          <cell r="D17" t="str">
            <v>Group3</v>
          </cell>
          <cell r="E17" t="str">
            <v>Group3</v>
          </cell>
          <cell r="H17" t="str">
            <v>gpt|no_guideline|41</v>
          </cell>
        </row>
        <row r="18">
          <cell r="D18" t="str">
            <v>Group3</v>
          </cell>
          <cell r="E18" t="str">
            <v>Group3</v>
          </cell>
          <cell r="H18" t="str">
            <v>gpt|no_guideline|42</v>
          </cell>
        </row>
        <row r="19">
          <cell r="D19" t="str">
            <v>Group2</v>
          </cell>
          <cell r="E19" t="str">
            <v>Group2</v>
          </cell>
          <cell r="H19" t="str">
            <v>gpt|no_guideline|51</v>
          </cell>
        </row>
        <row r="20">
          <cell r="D20" t="str">
            <v>Group2</v>
          </cell>
          <cell r="E20" t="str">
            <v>Group3</v>
          </cell>
          <cell r="H20" t="str">
            <v>gpt|no_guideline|52</v>
          </cell>
        </row>
        <row r="21">
          <cell r="D21" t="str">
            <v>Group1</v>
          </cell>
          <cell r="E21" t="str">
            <v>Group1</v>
          </cell>
          <cell r="H21" t="str">
            <v>gpt|no_guideline|61</v>
          </cell>
        </row>
        <row r="22">
          <cell r="D22" t="str">
            <v>Group2</v>
          </cell>
          <cell r="E22" t="str">
            <v>Group2</v>
          </cell>
          <cell r="H22" t="str">
            <v>gpt|no_guideline|62</v>
          </cell>
        </row>
        <row r="23">
          <cell r="D23" t="str">
            <v>Group2</v>
          </cell>
          <cell r="E23" t="str">
            <v>Group1</v>
          </cell>
          <cell r="H23" t="str">
            <v>gpt|no_guideline|63</v>
          </cell>
        </row>
        <row r="24">
          <cell r="D24" t="str">
            <v>Group1</v>
          </cell>
          <cell r="E24" t="str">
            <v>Group2</v>
          </cell>
          <cell r="H24" t="str">
            <v>gpt|no_guideline|64</v>
          </cell>
        </row>
        <row r="25">
          <cell r="D25" t="str">
            <v>Group2</v>
          </cell>
          <cell r="E25" t="str">
            <v>Group2</v>
          </cell>
          <cell r="H25" t="str">
            <v>gpt|no_guideline|65</v>
          </cell>
        </row>
        <row r="26">
          <cell r="D26" t="str">
            <v>Group1</v>
          </cell>
          <cell r="E26" t="str">
            <v>Group2</v>
          </cell>
          <cell r="H26" t="str">
            <v>gpt|no_guideline|66</v>
          </cell>
        </row>
        <row r="27">
          <cell r="D27" t="str">
            <v>Group2</v>
          </cell>
          <cell r="E27" t="str">
            <v>Group2</v>
          </cell>
          <cell r="H27" t="str">
            <v>gpt|no_guideline|67</v>
          </cell>
        </row>
        <row r="28">
          <cell r="D28" t="str">
            <v>Group1</v>
          </cell>
          <cell r="E28" t="str">
            <v>Group2</v>
          </cell>
          <cell r="H28" t="str">
            <v>gpt|no_guideline|68</v>
          </cell>
        </row>
        <row r="29">
          <cell r="D29" t="str">
            <v>Group1</v>
          </cell>
          <cell r="E29" t="str">
            <v>Group1</v>
          </cell>
          <cell r="H29" t="str">
            <v>gpt|with_guideline|1</v>
          </cell>
        </row>
        <row r="30">
          <cell r="D30" t="str">
            <v>Group1</v>
          </cell>
          <cell r="E30" t="str">
            <v>Group1</v>
          </cell>
          <cell r="H30" t="str">
            <v>gpt|with_guideline|11</v>
          </cell>
        </row>
        <row r="31">
          <cell r="D31" t="str">
            <v>Group2</v>
          </cell>
          <cell r="E31" t="str">
            <v>Group1</v>
          </cell>
          <cell r="H31" t="str">
            <v>gpt|with_guideline|12</v>
          </cell>
        </row>
        <row r="32">
          <cell r="D32" t="str">
            <v>Group1</v>
          </cell>
          <cell r="E32" t="str">
            <v>Group1</v>
          </cell>
          <cell r="H32" t="str">
            <v>gpt|with_guideline|13</v>
          </cell>
        </row>
        <row r="33">
          <cell r="D33" t="str">
            <v>Group2</v>
          </cell>
          <cell r="E33" t="str">
            <v>Group2</v>
          </cell>
          <cell r="H33" t="str">
            <v>gpt|with_guideline|14</v>
          </cell>
        </row>
        <row r="34">
          <cell r="D34" t="str">
            <v>Group1</v>
          </cell>
          <cell r="E34" t="str">
            <v>Group1</v>
          </cell>
          <cell r="H34" t="str">
            <v>gpt|with_guideline|15</v>
          </cell>
        </row>
        <row r="35">
          <cell r="D35" t="str">
            <v>Group2</v>
          </cell>
          <cell r="E35" t="str">
            <v>Group2</v>
          </cell>
          <cell r="H35" t="str">
            <v>gpt|with_guideline|16</v>
          </cell>
        </row>
        <row r="36">
          <cell r="D36" t="str">
            <v>Group1</v>
          </cell>
          <cell r="E36" t="str">
            <v>Group1</v>
          </cell>
          <cell r="H36" t="str">
            <v>gpt|with_guideline|17</v>
          </cell>
        </row>
        <row r="37">
          <cell r="D37" t="str">
            <v>Group2</v>
          </cell>
          <cell r="E37" t="str">
            <v>Group1</v>
          </cell>
          <cell r="H37" t="str">
            <v>gpt|with_guideline|18</v>
          </cell>
        </row>
        <row r="38">
          <cell r="D38" t="str">
            <v>Group1</v>
          </cell>
          <cell r="E38" t="str">
            <v>Group2</v>
          </cell>
          <cell r="H38" t="str">
            <v>gpt|with_guideline|19</v>
          </cell>
        </row>
        <row r="39">
          <cell r="D39" t="str">
            <v>Group2</v>
          </cell>
          <cell r="E39" t="str">
            <v>Group2</v>
          </cell>
          <cell r="H39" t="str">
            <v>gpt|with_guideline|20</v>
          </cell>
        </row>
        <row r="40">
          <cell r="D40" t="str">
            <v>Group2</v>
          </cell>
          <cell r="E40" t="str">
            <v>Group2</v>
          </cell>
          <cell r="H40" t="str">
            <v>gpt|with_guideline|21</v>
          </cell>
        </row>
        <row r="41">
          <cell r="D41" t="str">
            <v>Group1</v>
          </cell>
          <cell r="E41" t="str">
            <v>Group1</v>
          </cell>
          <cell r="H41" t="str">
            <v>gpt|with_guideline|22</v>
          </cell>
        </row>
        <row r="42">
          <cell r="D42" t="str">
            <v>Group2</v>
          </cell>
          <cell r="E42" t="str">
            <v>Group2</v>
          </cell>
          <cell r="H42" t="str">
            <v>gpt|with_guideline|31</v>
          </cell>
        </row>
        <row r="43">
          <cell r="D43" t="str">
            <v>Group3</v>
          </cell>
          <cell r="E43" t="str">
            <v>Group3</v>
          </cell>
          <cell r="H43" t="str">
            <v>gpt|with_guideline|32</v>
          </cell>
        </row>
        <row r="44">
          <cell r="D44" t="str">
            <v>Group3</v>
          </cell>
          <cell r="E44" t="str">
            <v>Group3</v>
          </cell>
          <cell r="H44" t="str">
            <v>gpt|with_guideline|41</v>
          </cell>
        </row>
        <row r="45">
          <cell r="D45" t="str">
            <v>Group3</v>
          </cell>
          <cell r="E45" t="str">
            <v>Group3</v>
          </cell>
          <cell r="H45" t="str">
            <v>gpt|with_guideline|42</v>
          </cell>
        </row>
        <row r="46">
          <cell r="D46" t="str">
            <v>Group2</v>
          </cell>
          <cell r="E46" t="str">
            <v>Group2</v>
          </cell>
          <cell r="H46" t="str">
            <v>gpt|with_guideline|51</v>
          </cell>
        </row>
        <row r="47">
          <cell r="D47" t="str">
            <v>Group2</v>
          </cell>
          <cell r="E47" t="str">
            <v>Group3</v>
          </cell>
          <cell r="H47" t="str">
            <v>gpt|with_guideline|52</v>
          </cell>
        </row>
        <row r="48">
          <cell r="D48" t="str">
            <v>Group1</v>
          </cell>
          <cell r="E48" t="str">
            <v>Group1</v>
          </cell>
          <cell r="H48" t="str">
            <v>gpt|with_guideline|61</v>
          </cell>
        </row>
        <row r="49">
          <cell r="D49" t="str">
            <v>Group2</v>
          </cell>
          <cell r="E49" t="str">
            <v>Group1</v>
          </cell>
          <cell r="H49" t="str">
            <v>gpt|with_guideline|62</v>
          </cell>
        </row>
        <row r="50">
          <cell r="D50" t="str">
            <v>Group2</v>
          </cell>
          <cell r="E50" t="str">
            <v>Group2</v>
          </cell>
          <cell r="H50" t="str">
            <v>gpt|with_guideline|63</v>
          </cell>
        </row>
        <row r="51">
          <cell r="D51" t="str">
            <v>Group1</v>
          </cell>
          <cell r="E51" t="str">
            <v>Group1</v>
          </cell>
          <cell r="H51" t="str">
            <v>gpt|with_guideline|64</v>
          </cell>
        </row>
        <row r="52">
          <cell r="D52" t="str">
            <v>Group2</v>
          </cell>
          <cell r="E52" t="str">
            <v>Group2</v>
          </cell>
          <cell r="H52" t="str">
            <v>gpt|with_guideline|65</v>
          </cell>
        </row>
        <row r="53">
          <cell r="D53" t="str">
            <v>Group1</v>
          </cell>
          <cell r="E53" t="str">
            <v>Group1</v>
          </cell>
          <cell r="H53" t="str">
            <v>gpt|with_guideline|66</v>
          </cell>
        </row>
        <row r="54">
          <cell r="D54" t="str">
            <v>Group2</v>
          </cell>
          <cell r="E54" t="str">
            <v>Group2</v>
          </cell>
          <cell r="H54" t="str">
            <v>gpt|with_guideline|67</v>
          </cell>
        </row>
        <row r="55">
          <cell r="D55" t="str">
            <v>Group1</v>
          </cell>
          <cell r="E55" t="str">
            <v>Group2</v>
          </cell>
          <cell r="H55" t="str">
            <v>gpt|with_guideline|68</v>
          </cell>
        </row>
        <row r="56">
          <cell r="D56" t="str">
            <v>Group1</v>
          </cell>
          <cell r="E56" t="str">
            <v>PARSE_ERROR</v>
          </cell>
          <cell r="H56" t="str">
            <v>claude|no_guideline|1</v>
          </cell>
        </row>
        <row r="57">
          <cell r="D57" t="str">
            <v>Group1</v>
          </cell>
          <cell r="E57" t="str">
            <v>PARSE_ERROR</v>
          </cell>
          <cell r="H57" t="str">
            <v>claude|no_guideline|11</v>
          </cell>
        </row>
        <row r="58">
          <cell r="D58" t="str">
            <v>Group2</v>
          </cell>
          <cell r="E58" t="str">
            <v>PARSE_ERROR</v>
          </cell>
          <cell r="H58" t="str">
            <v>claude|no_guideline|12</v>
          </cell>
        </row>
        <row r="59">
          <cell r="D59" t="str">
            <v>Group1</v>
          </cell>
          <cell r="E59" t="str">
            <v>PARSE_ERROR</v>
          </cell>
          <cell r="H59" t="str">
            <v>claude|no_guideline|13</v>
          </cell>
        </row>
        <row r="60">
          <cell r="D60" t="str">
            <v>Group2</v>
          </cell>
          <cell r="E60" t="str">
            <v>PARSE_ERROR</v>
          </cell>
          <cell r="H60" t="str">
            <v>claude|no_guideline|14</v>
          </cell>
        </row>
        <row r="61">
          <cell r="D61" t="str">
            <v>Group1</v>
          </cell>
          <cell r="E61" t="str">
            <v>PARSE_ERROR</v>
          </cell>
          <cell r="H61" t="str">
            <v>claude|no_guideline|15</v>
          </cell>
        </row>
        <row r="62">
          <cell r="D62" t="str">
            <v>Group2</v>
          </cell>
          <cell r="E62" t="str">
            <v>PARSE_ERROR</v>
          </cell>
          <cell r="H62" t="str">
            <v>claude|no_guideline|16</v>
          </cell>
        </row>
        <row r="63">
          <cell r="D63" t="str">
            <v>Group1</v>
          </cell>
          <cell r="E63" t="str">
            <v>PARSE_ERROR</v>
          </cell>
          <cell r="H63" t="str">
            <v>claude|no_guideline|17</v>
          </cell>
        </row>
        <row r="64">
          <cell r="D64" t="str">
            <v>Group2</v>
          </cell>
          <cell r="E64" t="str">
            <v>PARSE_ERROR</v>
          </cell>
          <cell r="H64" t="str">
            <v>claude|no_guideline|18</v>
          </cell>
        </row>
        <row r="65">
          <cell r="D65" t="str">
            <v>Group1</v>
          </cell>
          <cell r="E65" t="str">
            <v>PARSE_ERROR</v>
          </cell>
          <cell r="H65" t="str">
            <v>claude|no_guideline|19</v>
          </cell>
        </row>
        <row r="66">
          <cell r="D66" t="str">
            <v>Group2</v>
          </cell>
          <cell r="E66" t="str">
            <v>PARSE_ERROR</v>
          </cell>
          <cell r="H66" t="str">
            <v>claude|no_guideline|20</v>
          </cell>
        </row>
        <row r="67">
          <cell r="D67" t="str">
            <v>Group2</v>
          </cell>
          <cell r="E67" t="str">
            <v>PARSE_ERROR</v>
          </cell>
          <cell r="H67" t="str">
            <v>claude|no_guideline|21</v>
          </cell>
        </row>
        <row r="68">
          <cell r="D68" t="str">
            <v>Group1</v>
          </cell>
          <cell r="E68" t="str">
            <v>PARSE_ERROR</v>
          </cell>
          <cell r="H68" t="str">
            <v>claude|no_guideline|22</v>
          </cell>
        </row>
        <row r="69">
          <cell r="D69" t="str">
            <v>Group2</v>
          </cell>
          <cell r="E69" t="str">
            <v>PARSE_ERROR</v>
          </cell>
          <cell r="H69" t="str">
            <v>claude|no_guideline|31</v>
          </cell>
        </row>
        <row r="70">
          <cell r="D70" t="str">
            <v>Group3</v>
          </cell>
          <cell r="E70" t="str">
            <v>PARSE_ERROR</v>
          </cell>
          <cell r="H70" t="str">
            <v>claude|no_guideline|32</v>
          </cell>
        </row>
        <row r="71">
          <cell r="D71" t="str">
            <v>Group3</v>
          </cell>
          <cell r="E71" t="str">
            <v>PARSE_ERROR</v>
          </cell>
          <cell r="H71" t="str">
            <v>claude|no_guideline|41</v>
          </cell>
        </row>
        <row r="72">
          <cell r="D72" t="str">
            <v>Group3</v>
          </cell>
          <cell r="E72" t="str">
            <v>PARSE_ERROR</v>
          </cell>
          <cell r="H72" t="str">
            <v>claude|no_guideline|42</v>
          </cell>
        </row>
        <row r="73">
          <cell r="D73" t="str">
            <v>Group2</v>
          </cell>
          <cell r="E73" t="str">
            <v>PARSE_ERROR</v>
          </cell>
          <cell r="H73" t="str">
            <v>claude|no_guideline|51</v>
          </cell>
        </row>
        <row r="74">
          <cell r="D74" t="str">
            <v>Group2</v>
          </cell>
          <cell r="E74" t="str">
            <v>PARSE_ERROR</v>
          </cell>
          <cell r="H74" t="str">
            <v>claude|no_guideline|52</v>
          </cell>
        </row>
        <row r="75">
          <cell r="D75" t="str">
            <v>Group1</v>
          </cell>
          <cell r="E75" t="str">
            <v>PARSE_ERROR</v>
          </cell>
          <cell r="H75" t="str">
            <v>claude|no_guideline|61</v>
          </cell>
        </row>
        <row r="76">
          <cell r="D76" t="str">
            <v>Group2</v>
          </cell>
          <cell r="E76" t="str">
            <v>PARSE_ERROR</v>
          </cell>
          <cell r="H76" t="str">
            <v>claude|no_guideline|62</v>
          </cell>
        </row>
        <row r="77">
          <cell r="D77" t="str">
            <v>Group2</v>
          </cell>
          <cell r="E77" t="str">
            <v>PARSE_ERROR</v>
          </cell>
          <cell r="H77" t="str">
            <v>claude|no_guideline|63</v>
          </cell>
        </row>
        <row r="78">
          <cell r="D78" t="str">
            <v>Group1</v>
          </cell>
          <cell r="E78" t="str">
            <v>PARSE_ERROR</v>
          </cell>
          <cell r="H78" t="str">
            <v>claude|no_guideline|64</v>
          </cell>
        </row>
        <row r="79">
          <cell r="D79" t="str">
            <v>Group2</v>
          </cell>
          <cell r="E79" t="str">
            <v>PARSE_ERROR</v>
          </cell>
          <cell r="H79" t="str">
            <v>claude|no_guideline|65</v>
          </cell>
        </row>
        <row r="80">
          <cell r="D80" t="str">
            <v>Group1</v>
          </cell>
          <cell r="E80" t="str">
            <v>PARSE_ERROR</v>
          </cell>
          <cell r="H80" t="str">
            <v>claude|no_guideline|66</v>
          </cell>
        </row>
        <row r="81">
          <cell r="D81" t="str">
            <v>Group2</v>
          </cell>
          <cell r="E81" t="str">
            <v>PARSE_ERROR</v>
          </cell>
          <cell r="H81" t="str">
            <v>claude|no_guideline|67</v>
          </cell>
        </row>
        <row r="82">
          <cell r="D82" t="str">
            <v>Group1</v>
          </cell>
          <cell r="E82" t="str">
            <v>PARSE_ERROR</v>
          </cell>
          <cell r="H82" t="str">
            <v>claude|no_guideline|68</v>
          </cell>
        </row>
        <row r="83">
          <cell r="D83" t="str">
            <v>Group1</v>
          </cell>
          <cell r="E83" t="str">
            <v>PARSE_ERROR</v>
          </cell>
          <cell r="H83" t="str">
            <v>claude|with_guideline|1</v>
          </cell>
        </row>
        <row r="84">
          <cell r="D84" t="str">
            <v>Group1</v>
          </cell>
          <cell r="E84" t="str">
            <v>PARSE_ERROR</v>
          </cell>
          <cell r="H84" t="str">
            <v>claude|with_guideline|11</v>
          </cell>
        </row>
        <row r="85">
          <cell r="D85" t="str">
            <v>Group2</v>
          </cell>
          <cell r="E85" t="str">
            <v>PARSE_ERROR</v>
          </cell>
          <cell r="H85" t="str">
            <v>claude|with_guideline|12</v>
          </cell>
        </row>
        <row r="86">
          <cell r="D86" t="str">
            <v>Group1</v>
          </cell>
          <cell r="E86" t="str">
            <v>PARSE_ERROR</v>
          </cell>
          <cell r="H86" t="str">
            <v>claude|with_guideline|13</v>
          </cell>
        </row>
        <row r="87">
          <cell r="D87" t="str">
            <v>Group2</v>
          </cell>
          <cell r="E87" t="str">
            <v>PARSE_ERROR</v>
          </cell>
          <cell r="H87" t="str">
            <v>claude|with_guideline|14</v>
          </cell>
        </row>
        <row r="88">
          <cell r="D88" t="str">
            <v>Group1</v>
          </cell>
          <cell r="E88" t="str">
            <v>PARSE_ERROR</v>
          </cell>
          <cell r="H88" t="str">
            <v>claude|with_guideline|15</v>
          </cell>
        </row>
        <row r="89">
          <cell r="D89" t="str">
            <v>Group2</v>
          </cell>
          <cell r="E89" t="str">
            <v>PARSE_ERROR</v>
          </cell>
          <cell r="H89" t="str">
            <v>claude|with_guideline|16</v>
          </cell>
        </row>
        <row r="90">
          <cell r="D90" t="str">
            <v>Group1</v>
          </cell>
          <cell r="E90" t="str">
            <v>PARSE_ERROR</v>
          </cell>
          <cell r="H90" t="str">
            <v>claude|with_guideline|17</v>
          </cell>
        </row>
        <row r="91">
          <cell r="D91" t="str">
            <v>Group2</v>
          </cell>
          <cell r="E91" t="str">
            <v>PARSE_ERROR</v>
          </cell>
          <cell r="H91" t="str">
            <v>claude|with_guideline|18</v>
          </cell>
        </row>
        <row r="92">
          <cell r="D92" t="str">
            <v>Group1</v>
          </cell>
          <cell r="E92" t="str">
            <v>PARSE_ERROR</v>
          </cell>
          <cell r="H92" t="str">
            <v>claude|with_guideline|19</v>
          </cell>
        </row>
        <row r="93">
          <cell r="D93" t="str">
            <v>Group2</v>
          </cell>
          <cell r="E93" t="str">
            <v>PARSE_ERROR</v>
          </cell>
          <cell r="H93" t="str">
            <v>claude|with_guideline|20</v>
          </cell>
        </row>
        <row r="94">
          <cell r="D94" t="str">
            <v>Group2</v>
          </cell>
          <cell r="E94" t="str">
            <v>PARSE_ERROR</v>
          </cell>
          <cell r="H94" t="str">
            <v>claude|with_guideline|21</v>
          </cell>
        </row>
        <row r="95">
          <cell r="D95" t="str">
            <v>Group1</v>
          </cell>
          <cell r="E95" t="str">
            <v>PARSE_ERROR</v>
          </cell>
          <cell r="H95" t="str">
            <v>claude|with_guideline|22</v>
          </cell>
        </row>
        <row r="96">
          <cell r="D96" t="str">
            <v>Group2</v>
          </cell>
          <cell r="E96" t="str">
            <v>PARSE_ERROR</v>
          </cell>
          <cell r="H96" t="str">
            <v>claude|with_guideline|31</v>
          </cell>
        </row>
        <row r="97">
          <cell r="D97" t="str">
            <v>Group3</v>
          </cell>
          <cell r="E97" t="str">
            <v>PARSE_ERROR</v>
          </cell>
          <cell r="H97" t="str">
            <v>claude|with_guideline|32</v>
          </cell>
        </row>
        <row r="98">
          <cell r="D98" t="str">
            <v>Group3</v>
          </cell>
          <cell r="E98" t="str">
            <v>PARSE_ERROR</v>
          </cell>
          <cell r="H98" t="str">
            <v>claude|with_guideline|41</v>
          </cell>
        </row>
        <row r="99">
          <cell r="D99" t="str">
            <v>Group3</v>
          </cell>
          <cell r="E99" t="str">
            <v>PARSE_ERROR</v>
          </cell>
          <cell r="H99" t="str">
            <v>claude|with_guideline|42</v>
          </cell>
        </row>
        <row r="100">
          <cell r="D100" t="str">
            <v>Group2</v>
          </cell>
          <cell r="E100" t="str">
            <v>PARSE_ERROR</v>
          </cell>
          <cell r="H100" t="str">
            <v>claude|with_guideline|51</v>
          </cell>
        </row>
        <row r="101">
          <cell r="D101" t="str">
            <v>Group2</v>
          </cell>
          <cell r="E101" t="str">
            <v>PARSE_ERROR</v>
          </cell>
          <cell r="H101" t="str">
            <v>claude|with_guideline|52</v>
          </cell>
        </row>
        <row r="102">
          <cell r="D102" t="str">
            <v>Group1</v>
          </cell>
          <cell r="E102" t="str">
            <v>PARSE_ERROR</v>
          </cell>
          <cell r="H102" t="str">
            <v>claude|with_guideline|61</v>
          </cell>
        </row>
        <row r="103">
          <cell r="D103" t="str">
            <v>Group2</v>
          </cell>
          <cell r="E103" t="str">
            <v>PARSE_ERROR</v>
          </cell>
          <cell r="H103" t="str">
            <v>claude|with_guideline|62</v>
          </cell>
        </row>
        <row r="104">
          <cell r="D104" t="str">
            <v>Group2</v>
          </cell>
          <cell r="E104" t="str">
            <v>PARSE_ERROR</v>
          </cell>
          <cell r="H104" t="str">
            <v>claude|with_guideline|63</v>
          </cell>
        </row>
        <row r="105">
          <cell r="D105" t="str">
            <v>Group1</v>
          </cell>
          <cell r="E105" t="str">
            <v>PARSE_ERROR</v>
          </cell>
          <cell r="H105" t="str">
            <v>claude|with_guideline|64</v>
          </cell>
        </row>
        <row r="106">
          <cell r="D106" t="str">
            <v>Group2</v>
          </cell>
          <cell r="E106" t="str">
            <v>PARSE_ERROR</v>
          </cell>
          <cell r="H106" t="str">
            <v>claude|with_guideline|65</v>
          </cell>
        </row>
        <row r="107">
          <cell r="D107" t="str">
            <v>Group1</v>
          </cell>
          <cell r="E107" t="str">
            <v>PARSE_ERROR</v>
          </cell>
          <cell r="H107" t="str">
            <v>claude|with_guideline|66</v>
          </cell>
        </row>
        <row r="108">
          <cell r="D108" t="str">
            <v>Group2</v>
          </cell>
          <cell r="E108" t="str">
            <v>PARSE_ERROR</v>
          </cell>
          <cell r="H108" t="str">
            <v>claude|with_guideline|67</v>
          </cell>
        </row>
        <row r="109">
          <cell r="D109" t="str">
            <v>Group1</v>
          </cell>
          <cell r="E109" t="str">
            <v>PARSE_ERROR</v>
          </cell>
          <cell r="H109" t="str">
            <v>claude|with_guideline|68</v>
          </cell>
        </row>
        <row r="110">
          <cell r="D110" t="str">
            <v>Group1</v>
          </cell>
          <cell r="E110" t="str">
            <v>Group1</v>
          </cell>
          <cell r="H110" t="str">
            <v>gemini|no_guideline|1</v>
          </cell>
        </row>
        <row r="111">
          <cell r="D111" t="str">
            <v>Group1</v>
          </cell>
          <cell r="E111" t="str">
            <v>Group1</v>
          </cell>
          <cell r="H111" t="str">
            <v>gemini|no_guideline|11</v>
          </cell>
        </row>
        <row r="112">
          <cell r="D112" t="str">
            <v>Group2</v>
          </cell>
          <cell r="E112" t="str">
            <v>Group1</v>
          </cell>
          <cell r="H112" t="str">
            <v>gemini|no_guideline|12</v>
          </cell>
        </row>
        <row r="113">
          <cell r="D113" t="str">
            <v>Group1</v>
          </cell>
          <cell r="E113" t="str">
            <v>Group1</v>
          </cell>
          <cell r="H113" t="str">
            <v>gemini|no_guideline|13</v>
          </cell>
        </row>
        <row r="114">
          <cell r="D114" t="str">
            <v>Group2</v>
          </cell>
          <cell r="E114" t="str">
            <v>Group1</v>
          </cell>
          <cell r="H114" t="str">
            <v>gemini|no_guideline|14</v>
          </cell>
        </row>
        <row r="115">
          <cell r="D115" t="str">
            <v>Group1</v>
          </cell>
          <cell r="E115" t="str">
            <v>Group2</v>
          </cell>
          <cell r="H115" t="str">
            <v>gemini|no_guideline|15</v>
          </cell>
        </row>
        <row r="116">
          <cell r="D116" t="str">
            <v>Group2</v>
          </cell>
          <cell r="E116" t="str">
            <v>Group2</v>
          </cell>
          <cell r="H116" t="str">
            <v>gemini|no_guideline|16</v>
          </cell>
        </row>
        <row r="117">
          <cell r="D117" t="str">
            <v>Group1</v>
          </cell>
          <cell r="E117" t="str">
            <v>Group1</v>
          </cell>
          <cell r="H117" t="str">
            <v>gemini|no_guideline|17</v>
          </cell>
        </row>
        <row r="118">
          <cell r="D118" t="str">
            <v>Group2</v>
          </cell>
          <cell r="E118" t="str">
            <v>Group1</v>
          </cell>
          <cell r="H118" t="str">
            <v>gemini|no_guideline|18</v>
          </cell>
        </row>
        <row r="119">
          <cell r="D119" t="str">
            <v>Group1</v>
          </cell>
          <cell r="E119" t="str">
            <v>Group2</v>
          </cell>
          <cell r="H119" t="str">
            <v>gemini|no_guideline|19</v>
          </cell>
        </row>
        <row r="120">
          <cell r="D120" t="str">
            <v>Group2</v>
          </cell>
          <cell r="E120" t="str">
            <v>Group2</v>
          </cell>
          <cell r="H120" t="str">
            <v>gemini|no_guideline|20</v>
          </cell>
        </row>
        <row r="121">
          <cell r="D121" t="str">
            <v>Group2</v>
          </cell>
          <cell r="E121" t="str">
            <v>Group2</v>
          </cell>
          <cell r="H121" t="str">
            <v>gemini|no_guideline|21</v>
          </cell>
        </row>
        <row r="122">
          <cell r="D122" t="str">
            <v>Group1</v>
          </cell>
          <cell r="E122" t="str">
            <v>Group1</v>
          </cell>
          <cell r="H122" t="str">
            <v>gemini|no_guideline|22</v>
          </cell>
        </row>
        <row r="123">
          <cell r="D123" t="str">
            <v>Group2</v>
          </cell>
          <cell r="E123" t="str">
            <v>Group1</v>
          </cell>
          <cell r="H123" t="str">
            <v>gemini|no_guideline|31</v>
          </cell>
        </row>
        <row r="124">
          <cell r="D124" t="str">
            <v>Group3</v>
          </cell>
          <cell r="E124" t="str">
            <v>Group3</v>
          </cell>
          <cell r="H124" t="str">
            <v>gemini|no_guideline|32</v>
          </cell>
        </row>
        <row r="125">
          <cell r="D125" t="str">
            <v>Group3</v>
          </cell>
          <cell r="E125" t="str">
            <v>Group3</v>
          </cell>
          <cell r="H125" t="str">
            <v>gemini|no_guideline|41</v>
          </cell>
        </row>
        <row r="126">
          <cell r="D126" t="str">
            <v>Group3</v>
          </cell>
          <cell r="E126" t="str">
            <v>Group3</v>
          </cell>
          <cell r="H126" t="str">
            <v>gemini|no_guideline|42</v>
          </cell>
        </row>
        <row r="127">
          <cell r="D127" t="str">
            <v>Group2</v>
          </cell>
          <cell r="E127" t="str">
            <v>Group2</v>
          </cell>
          <cell r="H127" t="str">
            <v>gemini|no_guideline|51</v>
          </cell>
        </row>
        <row r="128">
          <cell r="D128" t="str">
            <v>Group2</v>
          </cell>
          <cell r="E128" t="str">
            <v>Group3</v>
          </cell>
          <cell r="H128" t="str">
            <v>gemini|no_guideline|52</v>
          </cell>
        </row>
        <row r="129">
          <cell r="D129" t="str">
            <v>Group1</v>
          </cell>
          <cell r="E129" t="str">
            <v>Group1</v>
          </cell>
          <cell r="H129" t="str">
            <v>gemini|no_guideline|61</v>
          </cell>
        </row>
        <row r="130">
          <cell r="D130" t="str">
            <v>Group2</v>
          </cell>
          <cell r="E130" t="str">
            <v>Group1</v>
          </cell>
          <cell r="H130" t="str">
            <v>gemini|no_guideline|62</v>
          </cell>
        </row>
        <row r="131">
          <cell r="D131" t="str">
            <v>Group2</v>
          </cell>
          <cell r="E131" t="str">
            <v>Group1</v>
          </cell>
          <cell r="H131" t="str">
            <v>gemini|no_guideline|63</v>
          </cell>
        </row>
        <row r="132">
          <cell r="D132" t="str">
            <v>Group1</v>
          </cell>
          <cell r="E132" t="str">
            <v>Group2</v>
          </cell>
          <cell r="H132" t="str">
            <v>gemini|no_guideline|64</v>
          </cell>
        </row>
        <row r="133">
          <cell r="D133" t="str">
            <v>Group2</v>
          </cell>
          <cell r="E133" t="str">
            <v>Group2</v>
          </cell>
          <cell r="H133" t="str">
            <v>gemini|no_guideline|65</v>
          </cell>
        </row>
        <row r="134">
          <cell r="D134" t="str">
            <v>Group1</v>
          </cell>
          <cell r="E134" t="str">
            <v>Group2</v>
          </cell>
          <cell r="H134" t="str">
            <v>gemini|no_guideline|66</v>
          </cell>
        </row>
        <row r="135">
          <cell r="D135" t="str">
            <v>Group2</v>
          </cell>
          <cell r="E135" t="str">
            <v>Group2</v>
          </cell>
          <cell r="H135" t="str">
            <v>gemini|no_guideline|67</v>
          </cell>
        </row>
        <row r="136">
          <cell r="D136" t="str">
            <v>Group1</v>
          </cell>
          <cell r="E136" t="str">
            <v>Group2</v>
          </cell>
          <cell r="H136" t="str">
            <v>gemini|no_guideline|68</v>
          </cell>
        </row>
        <row r="137">
          <cell r="D137" t="str">
            <v>Group1</v>
          </cell>
          <cell r="E137" t="str">
            <v>Group1</v>
          </cell>
          <cell r="H137" t="str">
            <v>gemini|with_guideline|1</v>
          </cell>
        </row>
        <row r="138">
          <cell r="D138" t="str">
            <v>Group1</v>
          </cell>
          <cell r="E138" t="str">
            <v>Group1</v>
          </cell>
          <cell r="H138" t="str">
            <v>gemini|with_guideline|11</v>
          </cell>
        </row>
        <row r="139">
          <cell r="D139" t="str">
            <v>Group2</v>
          </cell>
          <cell r="E139" t="str">
            <v>Group2</v>
          </cell>
          <cell r="H139" t="str">
            <v>gemini|with_guideline|12</v>
          </cell>
        </row>
        <row r="140">
          <cell r="D140" t="str">
            <v>Group1</v>
          </cell>
          <cell r="E140" t="str">
            <v>Group1</v>
          </cell>
          <cell r="H140" t="str">
            <v>gemini|with_guideline|13</v>
          </cell>
        </row>
        <row r="141">
          <cell r="D141" t="str">
            <v>Group2</v>
          </cell>
          <cell r="E141" t="str">
            <v>Group2</v>
          </cell>
          <cell r="H141" t="str">
            <v>gemini|with_guideline|14</v>
          </cell>
        </row>
        <row r="142">
          <cell r="D142" t="str">
            <v>Group1</v>
          </cell>
          <cell r="E142" t="str">
            <v>Group1</v>
          </cell>
          <cell r="H142" t="str">
            <v>gemini|with_guideline|15</v>
          </cell>
        </row>
        <row r="143">
          <cell r="D143" t="str">
            <v>Group2</v>
          </cell>
          <cell r="E143" t="str">
            <v>Group2</v>
          </cell>
          <cell r="H143" t="str">
            <v>gemini|with_guideline|16</v>
          </cell>
        </row>
        <row r="144">
          <cell r="D144" t="str">
            <v>Group1</v>
          </cell>
          <cell r="E144" t="str">
            <v>Group1</v>
          </cell>
          <cell r="H144" t="str">
            <v>gemini|with_guideline|17</v>
          </cell>
        </row>
        <row r="145">
          <cell r="D145" t="str">
            <v>Group2</v>
          </cell>
          <cell r="E145" t="str">
            <v>Group1</v>
          </cell>
          <cell r="H145" t="str">
            <v>gemini|with_guideline|18</v>
          </cell>
        </row>
        <row r="146">
          <cell r="D146" t="str">
            <v>Group1</v>
          </cell>
          <cell r="E146" t="str">
            <v>Group1</v>
          </cell>
          <cell r="H146" t="str">
            <v>gemini|with_guideline|19</v>
          </cell>
        </row>
        <row r="147">
          <cell r="D147" t="str">
            <v>Group2</v>
          </cell>
          <cell r="E147" t="str">
            <v>Group2</v>
          </cell>
          <cell r="H147" t="str">
            <v>gemini|with_guideline|20</v>
          </cell>
        </row>
        <row r="148">
          <cell r="D148" t="str">
            <v>Group2</v>
          </cell>
          <cell r="E148" t="str">
            <v>Group3</v>
          </cell>
          <cell r="H148" t="str">
            <v>gemini|with_guideline|21</v>
          </cell>
        </row>
        <row r="149">
          <cell r="D149" t="str">
            <v>Group1</v>
          </cell>
          <cell r="E149" t="str">
            <v>Group1</v>
          </cell>
          <cell r="H149" t="str">
            <v>gemini|with_guideline|22</v>
          </cell>
        </row>
        <row r="150">
          <cell r="D150" t="str">
            <v>Group2</v>
          </cell>
          <cell r="E150" t="str">
            <v>Group2</v>
          </cell>
          <cell r="H150" t="str">
            <v>gemini|with_guideline|31</v>
          </cell>
        </row>
        <row r="151">
          <cell r="D151" t="str">
            <v>Group3</v>
          </cell>
          <cell r="E151" t="str">
            <v>Group3</v>
          </cell>
          <cell r="H151" t="str">
            <v>gemini|with_guideline|32</v>
          </cell>
        </row>
        <row r="152">
          <cell r="D152" t="str">
            <v>Group3</v>
          </cell>
          <cell r="E152" t="str">
            <v>Group3</v>
          </cell>
          <cell r="H152" t="str">
            <v>gemini|with_guideline|41</v>
          </cell>
        </row>
        <row r="153">
          <cell r="D153" t="str">
            <v>Group3</v>
          </cell>
          <cell r="E153" t="str">
            <v>Group3</v>
          </cell>
          <cell r="H153" t="str">
            <v>gemini|with_guideline|42</v>
          </cell>
        </row>
        <row r="154">
          <cell r="D154" t="str">
            <v>Group2</v>
          </cell>
          <cell r="E154" t="str">
            <v>Group2</v>
          </cell>
          <cell r="H154" t="str">
            <v>gemini|with_guideline|51</v>
          </cell>
        </row>
        <row r="155">
          <cell r="D155" t="str">
            <v>Group2</v>
          </cell>
          <cell r="E155" t="str">
            <v>Group2</v>
          </cell>
          <cell r="H155" t="str">
            <v>gemini|with_guideline|52</v>
          </cell>
        </row>
        <row r="156">
          <cell r="D156" t="str">
            <v>Group1</v>
          </cell>
          <cell r="E156" t="str">
            <v>Group1</v>
          </cell>
          <cell r="H156" t="str">
            <v>gemini|with_guideline|61</v>
          </cell>
        </row>
        <row r="157">
          <cell r="D157" t="str">
            <v>Group2</v>
          </cell>
          <cell r="E157" t="str">
            <v>Group1</v>
          </cell>
          <cell r="H157" t="str">
            <v>gemini|with_guideline|62</v>
          </cell>
        </row>
        <row r="158">
          <cell r="D158" t="str">
            <v>Group2</v>
          </cell>
          <cell r="E158" t="str">
            <v>Group2</v>
          </cell>
          <cell r="H158" t="str">
            <v>gemini|with_guideline|63</v>
          </cell>
        </row>
        <row r="159">
          <cell r="D159" t="str">
            <v>Group1</v>
          </cell>
          <cell r="E159" t="str">
            <v>Group1</v>
          </cell>
          <cell r="H159" t="str">
            <v>gemini|with_guideline|64</v>
          </cell>
        </row>
        <row r="160">
          <cell r="D160" t="str">
            <v>Group2</v>
          </cell>
          <cell r="E160" t="str">
            <v>Group2</v>
          </cell>
          <cell r="H160" t="str">
            <v>gemini|with_guideline|65</v>
          </cell>
        </row>
        <row r="161">
          <cell r="D161" t="str">
            <v>Group1</v>
          </cell>
          <cell r="E161" t="str">
            <v>Group1</v>
          </cell>
          <cell r="H161" t="str">
            <v>gemini|with_guideline|66</v>
          </cell>
        </row>
        <row r="162">
          <cell r="D162" t="str">
            <v>Group2</v>
          </cell>
          <cell r="E162" t="str">
            <v>Group2</v>
          </cell>
          <cell r="H162" t="str">
            <v>gemini|with_guideline|67</v>
          </cell>
        </row>
        <row r="163">
          <cell r="D163" t="str">
            <v>Group1</v>
          </cell>
          <cell r="E163" t="str">
            <v>Group1</v>
          </cell>
          <cell r="H163" t="str">
            <v>gemini|with_guideline|68</v>
          </cell>
        </row>
        <row r="164">
          <cell r="D164" t="str">
            <v>Group1</v>
          </cell>
          <cell r="E164" t="str">
            <v>PARSE_ERROR</v>
          </cell>
          <cell r="H164" t="str">
            <v>llama|no_guideline|1</v>
          </cell>
        </row>
        <row r="165">
          <cell r="D165" t="str">
            <v>Group1</v>
          </cell>
          <cell r="E165" t="str">
            <v>PARSE_ERROR</v>
          </cell>
          <cell r="H165" t="str">
            <v>llama|no_guideline|11</v>
          </cell>
        </row>
        <row r="166">
          <cell r="D166" t="str">
            <v>Group2</v>
          </cell>
          <cell r="E166" t="str">
            <v>PARSE_ERROR</v>
          </cell>
          <cell r="H166" t="str">
            <v>llama|no_guideline|12</v>
          </cell>
        </row>
        <row r="167">
          <cell r="D167" t="str">
            <v>Group1</v>
          </cell>
          <cell r="E167" t="str">
            <v>PARSE_ERROR</v>
          </cell>
          <cell r="H167" t="str">
            <v>llama|no_guideline|13</v>
          </cell>
        </row>
        <row r="168">
          <cell r="D168" t="str">
            <v>Group2</v>
          </cell>
          <cell r="E168" t="str">
            <v>PARSE_ERROR</v>
          </cell>
          <cell r="H168" t="str">
            <v>llama|no_guideline|14</v>
          </cell>
        </row>
        <row r="169">
          <cell r="D169" t="str">
            <v>Group1</v>
          </cell>
          <cell r="E169" t="str">
            <v>PARSE_ERROR</v>
          </cell>
          <cell r="H169" t="str">
            <v>llama|no_guideline|15</v>
          </cell>
        </row>
        <row r="170">
          <cell r="D170" t="str">
            <v>Group2</v>
          </cell>
          <cell r="E170" t="str">
            <v>PARSE_ERROR</v>
          </cell>
          <cell r="H170" t="str">
            <v>llama|no_guideline|16</v>
          </cell>
        </row>
        <row r="171">
          <cell r="D171" t="str">
            <v>Group1</v>
          </cell>
          <cell r="E171" t="str">
            <v>PARSE_ERROR</v>
          </cell>
          <cell r="H171" t="str">
            <v>llama|no_guideline|17</v>
          </cell>
        </row>
        <row r="172">
          <cell r="D172" t="str">
            <v>Group2</v>
          </cell>
          <cell r="E172" t="str">
            <v>PARSE_ERROR</v>
          </cell>
          <cell r="H172" t="str">
            <v>llama|no_guideline|18</v>
          </cell>
        </row>
        <row r="173">
          <cell r="D173" t="str">
            <v>Group1</v>
          </cell>
          <cell r="E173" t="str">
            <v>PARSE_ERROR</v>
          </cell>
          <cell r="H173" t="str">
            <v>llama|no_guideline|19</v>
          </cell>
        </row>
        <row r="174">
          <cell r="D174" t="str">
            <v>Group2</v>
          </cell>
          <cell r="E174" t="str">
            <v>PARSE_ERROR</v>
          </cell>
          <cell r="H174" t="str">
            <v>llama|no_guideline|20</v>
          </cell>
        </row>
        <row r="175">
          <cell r="D175" t="str">
            <v>Group2</v>
          </cell>
          <cell r="E175" t="str">
            <v>PARSE_ERROR</v>
          </cell>
          <cell r="H175" t="str">
            <v>llama|no_guideline|21</v>
          </cell>
        </row>
        <row r="176">
          <cell r="D176" t="str">
            <v>Group1</v>
          </cell>
          <cell r="E176" t="str">
            <v>PARSE_ERROR</v>
          </cell>
          <cell r="H176" t="str">
            <v>llama|no_guideline|22</v>
          </cell>
        </row>
        <row r="177">
          <cell r="D177" t="str">
            <v>Group2</v>
          </cell>
          <cell r="E177" t="str">
            <v>PARSE_ERROR</v>
          </cell>
          <cell r="H177" t="str">
            <v>llama|no_guideline|31</v>
          </cell>
        </row>
        <row r="178">
          <cell r="D178" t="str">
            <v>Group3</v>
          </cell>
          <cell r="E178" t="str">
            <v>PARSE_ERROR</v>
          </cell>
          <cell r="H178" t="str">
            <v>llama|no_guideline|32</v>
          </cell>
        </row>
        <row r="179">
          <cell r="D179" t="str">
            <v>Group3</v>
          </cell>
          <cell r="E179" t="str">
            <v>PARSE_ERROR</v>
          </cell>
          <cell r="H179" t="str">
            <v>llama|no_guideline|41</v>
          </cell>
        </row>
        <row r="180">
          <cell r="D180" t="str">
            <v>Group3</v>
          </cell>
          <cell r="E180" t="str">
            <v>PARSE_ERROR</v>
          </cell>
          <cell r="H180" t="str">
            <v>llama|no_guideline|42</v>
          </cell>
        </row>
        <row r="181">
          <cell r="D181" t="str">
            <v>Group2</v>
          </cell>
          <cell r="E181" t="str">
            <v>PARSE_ERROR</v>
          </cell>
          <cell r="H181" t="str">
            <v>llama|no_guideline|51</v>
          </cell>
        </row>
        <row r="182">
          <cell r="D182" t="str">
            <v>Group2</v>
          </cell>
          <cell r="E182" t="str">
            <v>PARSE_ERROR</v>
          </cell>
          <cell r="H182" t="str">
            <v>llama|no_guideline|52</v>
          </cell>
        </row>
        <row r="183">
          <cell r="D183" t="str">
            <v>Group1</v>
          </cell>
          <cell r="E183" t="str">
            <v>PARSE_ERROR</v>
          </cell>
          <cell r="H183" t="str">
            <v>llama|no_guideline|61</v>
          </cell>
        </row>
        <row r="184">
          <cell r="D184" t="str">
            <v>Group2</v>
          </cell>
          <cell r="E184" t="str">
            <v>PARSE_ERROR</v>
          </cell>
          <cell r="H184" t="str">
            <v>llama|no_guideline|62</v>
          </cell>
        </row>
        <row r="185">
          <cell r="D185" t="str">
            <v>Group2</v>
          </cell>
          <cell r="E185" t="str">
            <v>PARSE_ERROR</v>
          </cell>
          <cell r="H185" t="str">
            <v>llama|no_guideline|63</v>
          </cell>
        </row>
        <row r="186">
          <cell r="D186" t="str">
            <v>Group1</v>
          </cell>
          <cell r="E186" t="str">
            <v>PARSE_ERROR</v>
          </cell>
          <cell r="H186" t="str">
            <v>llama|no_guideline|64</v>
          </cell>
        </row>
        <row r="187">
          <cell r="D187" t="str">
            <v>Group2</v>
          </cell>
          <cell r="E187" t="str">
            <v>PARSE_ERROR</v>
          </cell>
          <cell r="H187" t="str">
            <v>llama|no_guideline|65</v>
          </cell>
        </row>
        <row r="188">
          <cell r="D188" t="str">
            <v>Group1</v>
          </cell>
          <cell r="E188" t="str">
            <v>PARSE_ERROR</v>
          </cell>
          <cell r="H188" t="str">
            <v>llama|no_guideline|66</v>
          </cell>
        </row>
        <row r="189">
          <cell r="D189" t="str">
            <v>Group2</v>
          </cell>
          <cell r="E189" t="str">
            <v>PARSE_ERROR</v>
          </cell>
          <cell r="H189" t="str">
            <v>llama|no_guideline|67</v>
          </cell>
        </row>
        <row r="190">
          <cell r="D190" t="str">
            <v>Group1</v>
          </cell>
          <cell r="E190" t="str">
            <v>PARSE_ERROR</v>
          </cell>
          <cell r="H190" t="str">
            <v>llama|no_guideline|68</v>
          </cell>
        </row>
        <row r="191">
          <cell r="D191" t="str">
            <v>Group1</v>
          </cell>
          <cell r="E191" t="str">
            <v>PARSE_ERROR</v>
          </cell>
          <cell r="H191" t="str">
            <v>llama|with_guideline|1</v>
          </cell>
        </row>
        <row r="192">
          <cell r="D192" t="str">
            <v>Group1</v>
          </cell>
          <cell r="E192" t="str">
            <v>PARSE_ERROR</v>
          </cell>
          <cell r="H192" t="str">
            <v>llama|with_guideline|11</v>
          </cell>
        </row>
        <row r="193">
          <cell r="D193" t="str">
            <v>Group2</v>
          </cell>
          <cell r="E193" t="str">
            <v>PARSE_ERROR</v>
          </cell>
          <cell r="H193" t="str">
            <v>llama|with_guideline|12</v>
          </cell>
        </row>
        <row r="194">
          <cell r="D194" t="str">
            <v>Group1</v>
          </cell>
          <cell r="E194" t="str">
            <v>PARSE_ERROR</v>
          </cell>
          <cell r="H194" t="str">
            <v>llama|with_guideline|13</v>
          </cell>
        </row>
        <row r="195">
          <cell r="D195" t="str">
            <v>Group2</v>
          </cell>
          <cell r="E195" t="str">
            <v>PARSE_ERROR</v>
          </cell>
          <cell r="H195" t="str">
            <v>llama|with_guideline|14</v>
          </cell>
        </row>
        <row r="196">
          <cell r="D196" t="str">
            <v>Group1</v>
          </cell>
          <cell r="E196" t="str">
            <v>PARSE_ERROR</v>
          </cell>
          <cell r="H196" t="str">
            <v>llama|with_guideline|15</v>
          </cell>
        </row>
        <row r="197">
          <cell r="D197" t="str">
            <v>Group2</v>
          </cell>
          <cell r="E197" t="str">
            <v>PARSE_ERROR</v>
          </cell>
          <cell r="H197" t="str">
            <v>llama|with_guideline|16</v>
          </cell>
        </row>
        <row r="198">
          <cell r="D198" t="str">
            <v>Group1</v>
          </cell>
          <cell r="E198" t="str">
            <v>PARSE_ERROR</v>
          </cell>
          <cell r="H198" t="str">
            <v>llama|with_guideline|17</v>
          </cell>
        </row>
        <row r="199">
          <cell r="D199" t="str">
            <v>Group2</v>
          </cell>
          <cell r="E199" t="str">
            <v>PARSE_ERROR</v>
          </cell>
          <cell r="H199" t="str">
            <v>llama|with_guideline|18</v>
          </cell>
        </row>
        <row r="200">
          <cell r="D200" t="str">
            <v>Group1</v>
          </cell>
          <cell r="E200" t="str">
            <v>PARSE_ERROR</v>
          </cell>
          <cell r="H200" t="str">
            <v>llama|with_guideline|19</v>
          </cell>
        </row>
        <row r="201">
          <cell r="D201" t="str">
            <v>Group2</v>
          </cell>
          <cell r="E201" t="str">
            <v>PARSE_ERROR</v>
          </cell>
          <cell r="H201" t="str">
            <v>llama|with_guideline|20</v>
          </cell>
        </row>
        <row r="202">
          <cell r="D202" t="str">
            <v>Group2</v>
          </cell>
          <cell r="E202" t="str">
            <v>PARSE_ERROR</v>
          </cell>
          <cell r="H202" t="str">
            <v>llama|with_guideline|21</v>
          </cell>
        </row>
        <row r="203">
          <cell r="D203" t="str">
            <v>Group1</v>
          </cell>
          <cell r="E203" t="str">
            <v>PARSE_ERROR</v>
          </cell>
          <cell r="H203" t="str">
            <v>llama|with_guideline|22</v>
          </cell>
        </row>
        <row r="204">
          <cell r="D204" t="str">
            <v>Group2</v>
          </cell>
          <cell r="E204" t="str">
            <v>PARSE_ERROR</v>
          </cell>
          <cell r="H204" t="str">
            <v>llama|with_guideline|31</v>
          </cell>
        </row>
        <row r="205">
          <cell r="D205" t="str">
            <v>Group3</v>
          </cell>
          <cell r="E205" t="str">
            <v>PARSE_ERROR</v>
          </cell>
          <cell r="H205" t="str">
            <v>llama|with_guideline|32</v>
          </cell>
        </row>
        <row r="206">
          <cell r="D206" t="str">
            <v>Group3</v>
          </cell>
          <cell r="E206" t="str">
            <v>PARSE_ERROR</v>
          </cell>
          <cell r="H206" t="str">
            <v>llama|with_guideline|41</v>
          </cell>
        </row>
        <row r="207">
          <cell r="D207" t="str">
            <v>Group3</v>
          </cell>
          <cell r="E207" t="str">
            <v>PARSE_ERROR</v>
          </cell>
          <cell r="H207" t="str">
            <v>llama|with_guideline|42</v>
          </cell>
        </row>
        <row r="208">
          <cell r="D208" t="str">
            <v>Group2</v>
          </cell>
          <cell r="E208" t="str">
            <v>PARSE_ERROR</v>
          </cell>
          <cell r="H208" t="str">
            <v>llama|with_guideline|51</v>
          </cell>
        </row>
        <row r="209">
          <cell r="D209" t="str">
            <v>Group2</v>
          </cell>
          <cell r="E209" t="str">
            <v>PARSE_ERROR</v>
          </cell>
          <cell r="H209" t="str">
            <v>llama|with_guideline|52</v>
          </cell>
        </row>
        <row r="210">
          <cell r="D210" t="str">
            <v>Group1</v>
          </cell>
          <cell r="E210" t="str">
            <v>PARSE_ERROR</v>
          </cell>
          <cell r="H210" t="str">
            <v>llama|with_guideline|61</v>
          </cell>
        </row>
        <row r="211">
          <cell r="D211" t="str">
            <v>Group2</v>
          </cell>
          <cell r="E211" t="str">
            <v>PARSE_ERROR</v>
          </cell>
          <cell r="H211" t="str">
            <v>llama|with_guideline|62</v>
          </cell>
        </row>
        <row r="212">
          <cell r="D212" t="str">
            <v>Group2</v>
          </cell>
          <cell r="E212" t="str">
            <v>PARSE_ERROR</v>
          </cell>
          <cell r="H212" t="str">
            <v>llama|with_guideline|63</v>
          </cell>
        </row>
        <row r="213">
          <cell r="D213" t="str">
            <v>Group1</v>
          </cell>
          <cell r="E213" t="str">
            <v>PARSE_ERROR</v>
          </cell>
          <cell r="H213" t="str">
            <v>llama|with_guideline|64</v>
          </cell>
        </row>
        <row r="214">
          <cell r="D214" t="str">
            <v>Group2</v>
          </cell>
          <cell r="E214" t="str">
            <v>PARSE_ERROR</v>
          </cell>
          <cell r="H214" t="str">
            <v>llama|with_guideline|65</v>
          </cell>
        </row>
        <row r="215">
          <cell r="D215" t="str">
            <v>Group1</v>
          </cell>
          <cell r="E215" t="str">
            <v>PARSE_ERROR</v>
          </cell>
          <cell r="H215" t="str">
            <v>llama|with_guideline|66</v>
          </cell>
        </row>
        <row r="216">
          <cell r="D216" t="str">
            <v>Group2</v>
          </cell>
          <cell r="E216" t="str">
            <v>PARSE_ERROR</v>
          </cell>
          <cell r="H216" t="str">
            <v>llama|with_guideline|67</v>
          </cell>
        </row>
        <row r="217">
          <cell r="D217" t="str">
            <v>Group1</v>
          </cell>
          <cell r="E217" t="str">
            <v>PARSE_ERROR</v>
          </cell>
          <cell r="H217" t="str">
            <v>llama|with_guideline|68</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s"/>
      <sheetName val="Summary"/>
      <sheetName val="Patient Difficulty"/>
    </sheetNames>
    <sheetDataSet>
      <sheetData sheetId="0">
        <row r="1">
          <cell r="D1" t="str">
            <v>Expected</v>
          </cell>
          <cell r="E1" t="str">
            <v>Model Decision</v>
          </cell>
          <cell r="H1" t="str">
            <v>Key</v>
          </cell>
        </row>
        <row r="2">
          <cell r="D2" t="str">
            <v>ExcludeDVT</v>
          </cell>
          <cell r="E2" t="str">
            <v>ExcludeDVT</v>
          </cell>
          <cell r="H2" t="str">
            <v>gpt|no_guideline|1</v>
          </cell>
        </row>
        <row r="3">
          <cell r="D3" t="str">
            <v>ExcludeDVT</v>
          </cell>
          <cell r="E3" t="str">
            <v>TreatAnticoagulation</v>
          </cell>
          <cell r="H3" t="str">
            <v>gpt|no_guideline|2</v>
          </cell>
        </row>
        <row r="4">
          <cell r="D4" t="str">
            <v>ExcludeDVT</v>
          </cell>
          <cell r="E4" t="str">
            <v>ExcludeDVT</v>
          </cell>
          <cell r="H4" t="str">
            <v>gpt|no_guideline|3</v>
          </cell>
        </row>
        <row r="5">
          <cell r="D5" t="str">
            <v>TreatAnticoagulation</v>
          </cell>
          <cell r="E5" t="str">
            <v>TreatAnticoagulation</v>
          </cell>
          <cell r="H5" t="str">
            <v>gpt|no_guideline|4</v>
          </cell>
        </row>
        <row r="6">
          <cell r="D6" t="str">
            <v>ExcludeDVT</v>
          </cell>
          <cell r="E6" t="str">
            <v>ExcludeDVT</v>
          </cell>
          <cell r="H6" t="str">
            <v>gpt|no_guideline|11</v>
          </cell>
        </row>
        <row r="7">
          <cell r="D7" t="str">
            <v>TreatAnticoagulation</v>
          </cell>
          <cell r="E7" t="str">
            <v>TreatAnticoagulation</v>
          </cell>
          <cell r="H7" t="str">
            <v>gpt|no_guideline|12</v>
          </cell>
        </row>
        <row r="8">
          <cell r="D8" t="str">
            <v>TreatAnticoagulation</v>
          </cell>
          <cell r="E8" t="str">
            <v>TreatAnticoagulation</v>
          </cell>
          <cell r="H8" t="str">
            <v>gpt|no_guideline|13</v>
          </cell>
        </row>
        <row r="9">
          <cell r="D9" t="str">
            <v>RepeatUltrasoundIn1Week</v>
          </cell>
          <cell r="E9" t="str">
            <v>RepeatUltrasoundIn1Week</v>
          </cell>
          <cell r="H9" t="str">
            <v>gpt|no_guideline|14</v>
          </cell>
        </row>
        <row r="10">
          <cell r="D10" t="str">
            <v>ExcludeDVT</v>
          </cell>
          <cell r="E10" t="str">
            <v>RepeatUltrasoundIn1Week</v>
          </cell>
          <cell r="H10" t="str">
            <v>gpt|no_guideline|21</v>
          </cell>
        </row>
        <row r="11">
          <cell r="D11" t="str">
            <v>RepeatUltrasoundIn1Week</v>
          </cell>
          <cell r="E11" t="str">
            <v>RepeatUltrasoundIn1Week</v>
          </cell>
          <cell r="H11" t="str">
            <v>gpt|no_guideline|22</v>
          </cell>
        </row>
        <row r="12">
          <cell r="D12" t="str">
            <v>RepeatUltrasoundIn1Week</v>
          </cell>
          <cell r="E12" t="str">
            <v>RepeatUltrasoundIn1Week</v>
          </cell>
          <cell r="H12" t="str">
            <v>gpt|no_guideline|23</v>
          </cell>
        </row>
        <row r="13">
          <cell r="D13" t="str">
            <v>RepeatUltrasoundIn1Week</v>
          </cell>
          <cell r="E13" t="str">
            <v>RepeatUltrasoundIn1Week</v>
          </cell>
          <cell r="H13" t="str">
            <v>gpt|no_guideline|24</v>
          </cell>
        </row>
        <row r="14">
          <cell r="D14" t="str">
            <v>RepeatUltrasoundIn1Week</v>
          </cell>
          <cell r="E14" t="str">
            <v>RepeatUltrasoundIn1Week</v>
          </cell>
          <cell r="H14" t="str">
            <v>gpt|no_guideline|25</v>
          </cell>
        </row>
        <row r="15">
          <cell r="D15" t="str">
            <v>RepeatUltrasoundIn1Week</v>
          </cell>
          <cell r="E15" t="str">
            <v>RepeatUltrasoundIn1Week</v>
          </cell>
          <cell r="H15" t="str">
            <v>gpt|no_guideline|26</v>
          </cell>
        </row>
        <row r="16">
          <cell r="D16" t="str">
            <v>RepeatUltrasoundIn1Week</v>
          </cell>
          <cell r="E16" t="str">
            <v>RepeatUltrasoundIn1Week</v>
          </cell>
          <cell r="H16" t="str">
            <v>gpt|no_guideline|27</v>
          </cell>
        </row>
        <row r="17">
          <cell r="D17" t="str">
            <v>RepeatUltrasoundIn1Week</v>
          </cell>
          <cell r="E17" t="str">
            <v>RepeatUltrasoundIn1Week</v>
          </cell>
          <cell r="H17" t="str">
            <v>gpt|no_guideline|28</v>
          </cell>
        </row>
        <row r="18">
          <cell r="D18" t="str">
            <v>RepeatUltrasoundIn1Week</v>
          </cell>
          <cell r="E18" t="str">
            <v>RepeatUltrasoundIn1Week</v>
          </cell>
          <cell r="H18" t="str">
            <v>gpt|no_guideline|29</v>
          </cell>
        </row>
        <row r="19">
          <cell r="D19" t="str">
            <v>ExcludeDVT</v>
          </cell>
          <cell r="E19" t="str">
            <v>RepeatUltrasoundIn1Week</v>
          </cell>
          <cell r="H19" t="str">
            <v>gpt|no_guideline|31</v>
          </cell>
        </row>
        <row r="20">
          <cell r="D20" t="str">
            <v>ExcludeDVT</v>
          </cell>
          <cell r="E20" t="str">
            <v>ExcludeDVT</v>
          </cell>
          <cell r="H20" t="str">
            <v>gpt|no_guideline|32</v>
          </cell>
        </row>
        <row r="21">
          <cell r="D21" t="str">
            <v>TreatAnticoagulation</v>
          </cell>
          <cell r="E21" t="str">
            <v>TreatAnticoagulation</v>
          </cell>
          <cell r="H21" t="str">
            <v>gpt|no_guideline|41</v>
          </cell>
        </row>
        <row r="22">
          <cell r="D22" t="str">
            <v>ExcludeDVT</v>
          </cell>
          <cell r="E22" t="str">
            <v>ExcludeDVT</v>
          </cell>
          <cell r="H22" t="str">
            <v>gpt|with_guideline|1</v>
          </cell>
        </row>
        <row r="23">
          <cell r="D23" t="str">
            <v>ExcludeDVT</v>
          </cell>
          <cell r="E23" t="str">
            <v>TreatAnticoagulation</v>
          </cell>
          <cell r="H23" t="str">
            <v>gpt|with_guideline|2</v>
          </cell>
        </row>
        <row r="24">
          <cell r="D24" t="str">
            <v>ExcludeDVT</v>
          </cell>
          <cell r="E24" t="str">
            <v>ExcludeDVT</v>
          </cell>
          <cell r="H24" t="str">
            <v>gpt|with_guideline|3</v>
          </cell>
        </row>
        <row r="25">
          <cell r="D25" t="str">
            <v>TreatAnticoagulation</v>
          </cell>
          <cell r="E25" t="str">
            <v>TreatAnticoagulation</v>
          </cell>
          <cell r="H25" t="str">
            <v>gpt|with_guideline|4</v>
          </cell>
        </row>
        <row r="26">
          <cell r="D26" t="str">
            <v>ExcludeDVT</v>
          </cell>
          <cell r="E26" t="str">
            <v>ExcludeDVT</v>
          </cell>
          <cell r="H26" t="str">
            <v>gpt|with_guideline|11</v>
          </cell>
        </row>
        <row r="27">
          <cell r="D27" t="str">
            <v>TreatAnticoagulation</v>
          </cell>
          <cell r="E27" t="str">
            <v>TreatAnticoagulation</v>
          </cell>
          <cell r="H27" t="str">
            <v>gpt|with_guideline|12</v>
          </cell>
        </row>
        <row r="28">
          <cell r="D28" t="str">
            <v>TreatAnticoagulation</v>
          </cell>
          <cell r="E28" t="str">
            <v>TreatAnticoagulation</v>
          </cell>
          <cell r="H28" t="str">
            <v>gpt|with_guideline|13</v>
          </cell>
        </row>
        <row r="29">
          <cell r="D29" t="str">
            <v>RepeatUltrasoundIn1Week</v>
          </cell>
          <cell r="E29" t="str">
            <v>RepeatUltrasoundIn1Week</v>
          </cell>
          <cell r="H29" t="str">
            <v>gpt|with_guideline|14</v>
          </cell>
        </row>
        <row r="30">
          <cell r="D30" t="str">
            <v>ExcludeDVT</v>
          </cell>
          <cell r="E30" t="str">
            <v>ExcludeDVT</v>
          </cell>
          <cell r="H30" t="str">
            <v>gpt|with_guideline|21</v>
          </cell>
        </row>
        <row r="31">
          <cell r="D31" t="str">
            <v>RepeatUltrasoundIn1Week</v>
          </cell>
          <cell r="E31" t="str">
            <v>RepeatUltrasoundIn1Week</v>
          </cell>
          <cell r="H31" t="str">
            <v>gpt|with_guideline|22</v>
          </cell>
        </row>
        <row r="32">
          <cell r="D32" t="str">
            <v>RepeatUltrasoundIn1Week</v>
          </cell>
          <cell r="E32" t="str">
            <v>RepeatUltrasoundIn1Week</v>
          </cell>
          <cell r="H32" t="str">
            <v>gpt|with_guideline|23</v>
          </cell>
        </row>
        <row r="33">
          <cell r="D33" t="str">
            <v>RepeatUltrasoundIn1Week</v>
          </cell>
          <cell r="E33" t="str">
            <v>RepeatUltrasoundIn1Week</v>
          </cell>
          <cell r="H33" t="str">
            <v>gpt|with_guideline|24</v>
          </cell>
        </row>
        <row r="34">
          <cell r="D34" t="str">
            <v>RepeatUltrasoundIn1Week</v>
          </cell>
          <cell r="E34" t="str">
            <v>RepeatUltrasoundIn1Week</v>
          </cell>
          <cell r="H34" t="str">
            <v>gpt|with_guideline|25</v>
          </cell>
        </row>
        <row r="35">
          <cell r="D35" t="str">
            <v>RepeatUltrasoundIn1Week</v>
          </cell>
          <cell r="E35" t="str">
            <v>RepeatUltrasoundIn1Week</v>
          </cell>
          <cell r="H35" t="str">
            <v>gpt|with_guideline|26</v>
          </cell>
        </row>
        <row r="36">
          <cell r="D36" t="str">
            <v>RepeatUltrasoundIn1Week</v>
          </cell>
          <cell r="E36" t="str">
            <v>RepeatUltrasoundIn1Week</v>
          </cell>
          <cell r="H36" t="str">
            <v>gpt|with_guideline|27</v>
          </cell>
        </row>
        <row r="37">
          <cell r="D37" t="str">
            <v>RepeatUltrasoundIn1Week</v>
          </cell>
          <cell r="E37" t="str">
            <v>RepeatUltrasoundIn1Week</v>
          </cell>
          <cell r="H37" t="str">
            <v>gpt|with_guideline|28</v>
          </cell>
        </row>
        <row r="38">
          <cell r="D38" t="str">
            <v>RepeatUltrasoundIn1Week</v>
          </cell>
          <cell r="E38" t="str">
            <v>RepeatUltrasoundIn1Week</v>
          </cell>
          <cell r="H38" t="str">
            <v>gpt|with_guideline|29</v>
          </cell>
        </row>
        <row r="39">
          <cell r="D39" t="str">
            <v>ExcludeDVT</v>
          </cell>
          <cell r="E39" t="str">
            <v>ExcludeDVT</v>
          </cell>
          <cell r="H39" t="str">
            <v>gpt|with_guideline|31</v>
          </cell>
        </row>
        <row r="40">
          <cell r="D40" t="str">
            <v>ExcludeDVT</v>
          </cell>
          <cell r="E40" t="str">
            <v>ExcludeDVT</v>
          </cell>
          <cell r="H40" t="str">
            <v>gpt|with_guideline|32</v>
          </cell>
        </row>
        <row r="41">
          <cell r="D41" t="str">
            <v>TreatAnticoagulation</v>
          </cell>
          <cell r="E41" t="str">
            <v>TreatAnticoagulation</v>
          </cell>
          <cell r="H41" t="str">
            <v>gpt|with_guideline|41</v>
          </cell>
        </row>
        <row r="42">
          <cell r="D42" t="str">
            <v>ExcludeDVT</v>
          </cell>
          <cell r="E42" t="str">
            <v>PARSE_ERROR</v>
          </cell>
          <cell r="H42" t="str">
            <v>claude|no_guideline|1</v>
          </cell>
        </row>
        <row r="43">
          <cell r="D43" t="str">
            <v>ExcludeDVT</v>
          </cell>
          <cell r="E43" t="str">
            <v>PARSE_ERROR</v>
          </cell>
          <cell r="H43" t="str">
            <v>claude|no_guideline|2</v>
          </cell>
        </row>
        <row r="44">
          <cell r="D44" t="str">
            <v>ExcludeDVT</v>
          </cell>
          <cell r="E44" t="str">
            <v>PARSE_ERROR</v>
          </cell>
          <cell r="H44" t="str">
            <v>claude|no_guideline|3</v>
          </cell>
        </row>
        <row r="45">
          <cell r="D45" t="str">
            <v>TreatAnticoagulation</v>
          </cell>
          <cell r="E45" t="str">
            <v>PARSE_ERROR</v>
          </cell>
          <cell r="H45" t="str">
            <v>claude|no_guideline|4</v>
          </cell>
        </row>
        <row r="46">
          <cell r="D46" t="str">
            <v>ExcludeDVT</v>
          </cell>
          <cell r="E46" t="str">
            <v>PARSE_ERROR</v>
          </cell>
          <cell r="H46" t="str">
            <v>claude|no_guideline|11</v>
          </cell>
        </row>
        <row r="47">
          <cell r="D47" t="str">
            <v>TreatAnticoagulation</v>
          </cell>
          <cell r="E47" t="str">
            <v>PARSE_ERROR</v>
          </cell>
          <cell r="H47" t="str">
            <v>claude|no_guideline|12</v>
          </cell>
        </row>
        <row r="48">
          <cell r="D48" t="str">
            <v>TreatAnticoagulation</v>
          </cell>
          <cell r="E48" t="str">
            <v>PARSE_ERROR</v>
          </cell>
          <cell r="H48" t="str">
            <v>claude|no_guideline|13</v>
          </cell>
        </row>
        <row r="49">
          <cell r="D49" t="str">
            <v>RepeatUltrasoundIn1Week</v>
          </cell>
          <cell r="E49" t="str">
            <v>PARSE_ERROR</v>
          </cell>
          <cell r="H49" t="str">
            <v>claude|no_guideline|14</v>
          </cell>
        </row>
        <row r="50">
          <cell r="D50" t="str">
            <v>ExcludeDVT</v>
          </cell>
          <cell r="E50" t="str">
            <v>PARSE_ERROR</v>
          </cell>
          <cell r="H50" t="str">
            <v>claude|no_guideline|21</v>
          </cell>
        </row>
        <row r="51">
          <cell r="D51" t="str">
            <v>RepeatUltrasoundIn1Week</v>
          </cell>
          <cell r="E51" t="str">
            <v>PARSE_ERROR</v>
          </cell>
          <cell r="H51" t="str">
            <v>claude|no_guideline|22</v>
          </cell>
        </row>
        <row r="52">
          <cell r="D52" t="str">
            <v>RepeatUltrasoundIn1Week</v>
          </cell>
          <cell r="E52" t="str">
            <v>PARSE_ERROR</v>
          </cell>
          <cell r="H52" t="str">
            <v>claude|no_guideline|23</v>
          </cell>
        </row>
        <row r="53">
          <cell r="D53" t="str">
            <v>RepeatUltrasoundIn1Week</v>
          </cell>
          <cell r="E53" t="str">
            <v>PARSE_ERROR</v>
          </cell>
          <cell r="H53" t="str">
            <v>claude|no_guideline|24</v>
          </cell>
        </row>
        <row r="54">
          <cell r="D54" t="str">
            <v>RepeatUltrasoundIn1Week</v>
          </cell>
          <cell r="E54" t="str">
            <v>PARSE_ERROR</v>
          </cell>
          <cell r="H54" t="str">
            <v>claude|no_guideline|25</v>
          </cell>
        </row>
        <row r="55">
          <cell r="D55" t="str">
            <v>RepeatUltrasoundIn1Week</v>
          </cell>
          <cell r="E55" t="str">
            <v>PARSE_ERROR</v>
          </cell>
          <cell r="H55" t="str">
            <v>claude|no_guideline|26</v>
          </cell>
        </row>
        <row r="56">
          <cell r="D56" t="str">
            <v>RepeatUltrasoundIn1Week</v>
          </cell>
          <cell r="E56" t="str">
            <v>PARSE_ERROR</v>
          </cell>
          <cell r="H56" t="str">
            <v>claude|no_guideline|27</v>
          </cell>
        </row>
        <row r="57">
          <cell r="D57" t="str">
            <v>RepeatUltrasoundIn1Week</v>
          </cell>
          <cell r="E57" t="str">
            <v>PARSE_ERROR</v>
          </cell>
          <cell r="H57" t="str">
            <v>claude|no_guideline|28</v>
          </cell>
        </row>
        <row r="58">
          <cell r="D58" t="str">
            <v>RepeatUltrasoundIn1Week</v>
          </cell>
          <cell r="E58" t="str">
            <v>PARSE_ERROR</v>
          </cell>
          <cell r="H58" t="str">
            <v>claude|no_guideline|29</v>
          </cell>
        </row>
        <row r="59">
          <cell r="D59" t="str">
            <v>ExcludeDVT</v>
          </cell>
          <cell r="E59" t="str">
            <v>PARSE_ERROR</v>
          </cell>
          <cell r="H59" t="str">
            <v>claude|no_guideline|31</v>
          </cell>
        </row>
        <row r="60">
          <cell r="D60" t="str">
            <v>ExcludeDVT</v>
          </cell>
          <cell r="E60" t="str">
            <v>PARSE_ERROR</v>
          </cell>
          <cell r="H60" t="str">
            <v>claude|no_guideline|32</v>
          </cell>
        </row>
        <row r="61">
          <cell r="D61" t="str">
            <v>TreatAnticoagulation</v>
          </cell>
          <cell r="E61" t="str">
            <v>PARSE_ERROR</v>
          </cell>
          <cell r="H61" t="str">
            <v>claude|no_guideline|41</v>
          </cell>
        </row>
        <row r="62">
          <cell r="D62" t="str">
            <v>ExcludeDVT</v>
          </cell>
          <cell r="E62" t="str">
            <v>PARSE_ERROR</v>
          </cell>
          <cell r="H62" t="str">
            <v>claude|with_guideline|1</v>
          </cell>
        </row>
        <row r="63">
          <cell r="D63" t="str">
            <v>ExcludeDVT</v>
          </cell>
          <cell r="E63" t="str">
            <v>PARSE_ERROR</v>
          </cell>
          <cell r="H63" t="str">
            <v>claude|with_guideline|2</v>
          </cell>
        </row>
        <row r="64">
          <cell r="D64" t="str">
            <v>ExcludeDVT</v>
          </cell>
          <cell r="E64" t="str">
            <v>PARSE_ERROR</v>
          </cell>
          <cell r="H64" t="str">
            <v>claude|with_guideline|3</v>
          </cell>
        </row>
        <row r="65">
          <cell r="D65" t="str">
            <v>TreatAnticoagulation</v>
          </cell>
          <cell r="E65" t="str">
            <v>PARSE_ERROR</v>
          </cell>
          <cell r="H65" t="str">
            <v>claude|with_guideline|4</v>
          </cell>
        </row>
        <row r="66">
          <cell r="D66" t="str">
            <v>ExcludeDVT</v>
          </cell>
          <cell r="E66" t="str">
            <v>PARSE_ERROR</v>
          </cell>
          <cell r="H66" t="str">
            <v>claude|with_guideline|11</v>
          </cell>
        </row>
        <row r="67">
          <cell r="D67" t="str">
            <v>TreatAnticoagulation</v>
          </cell>
          <cell r="E67" t="str">
            <v>PARSE_ERROR</v>
          </cell>
          <cell r="H67" t="str">
            <v>claude|with_guideline|12</v>
          </cell>
        </row>
        <row r="68">
          <cell r="D68" t="str">
            <v>TreatAnticoagulation</v>
          </cell>
          <cell r="E68" t="str">
            <v>PARSE_ERROR</v>
          </cell>
          <cell r="H68" t="str">
            <v>claude|with_guideline|13</v>
          </cell>
        </row>
        <row r="69">
          <cell r="D69" t="str">
            <v>RepeatUltrasoundIn1Week</v>
          </cell>
          <cell r="E69" t="str">
            <v>PARSE_ERROR</v>
          </cell>
          <cell r="H69" t="str">
            <v>claude|with_guideline|14</v>
          </cell>
        </row>
        <row r="70">
          <cell r="D70" t="str">
            <v>ExcludeDVT</v>
          </cell>
          <cell r="E70" t="str">
            <v>PARSE_ERROR</v>
          </cell>
          <cell r="H70" t="str">
            <v>claude|with_guideline|21</v>
          </cell>
        </row>
        <row r="71">
          <cell r="D71" t="str">
            <v>RepeatUltrasoundIn1Week</v>
          </cell>
          <cell r="E71" t="str">
            <v>PARSE_ERROR</v>
          </cell>
          <cell r="H71" t="str">
            <v>claude|with_guideline|22</v>
          </cell>
        </row>
        <row r="72">
          <cell r="D72" t="str">
            <v>RepeatUltrasoundIn1Week</v>
          </cell>
          <cell r="E72" t="str">
            <v>PARSE_ERROR</v>
          </cell>
          <cell r="H72" t="str">
            <v>claude|with_guideline|23</v>
          </cell>
        </row>
        <row r="73">
          <cell r="D73" t="str">
            <v>RepeatUltrasoundIn1Week</v>
          </cell>
          <cell r="E73" t="str">
            <v>PARSE_ERROR</v>
          </cell>
          <cell r="H73" t="str">
            <v>claude|with_guideline|24</v>
          </cell>
        </row>
        <row r="74">
          <cell r="D74" t="str">
            <v>RepeatUltrasoundIn1Week</v>
          </cell>
          <cell r="E74" t="str">
            <v>PARSE_ERROR</v>
          </cell>
          <cell r="H74" t="str">
            <v>claude|with_guideline|25</v>
          </cell>
        </row>
        <row r="75">
          <cell r="D75" t="str">
            <v>RepeatUltrasoundIn1Week</v>
          </cell>
          <cell r="E75" t="str">
            <v>PARSE_ERROR</v>
          </cell>
          <cell r="H75" t="str">
            <v>claude|with_guideline|26</v>
          </cell>
        </row>
        <row r="76">
          <cell r="D76" t="str">
            <v>RepeatUltrasoundIn1Week</v>
          </cell>
          <cell r="E76" t="str">
            <v>PARSE_ERROR</v>
          </cell>
          <cell r="H76" t="str">
            <v>claude|with_guideline|27</v>
          </cell>
        </row>
        <row r="77">
          <cell r="D77" t="str">
            <v>RepeatUltrasoundIn1Week</v>
          </cell>
          <cell r="E77" t="str">
            <v>PARSE_ERROR</v>
          </cell>
          <cell r="H77" t="str">
            <v>claude|with_guideline|28</v>
          </cell>
        </row>
        <row r="78">
          <cell r="D78" t="str">
            <v>RepeatUltrasoundIn1Week</v>
          </cell>
          <cell r="E78" t="str">
            <v>PARSE_ERROR</v>
          </cell>
          <cell r="H78" t="str">
            <v>claude|with_guideline|29</v>
          </cell>
        </row>
        <row r="79">
          <cell r="D79" t="str">
            <v>ExcludeDVT</v>
          </cell>
          <cell r="E79" t="str">
            <v>PARSE_ERROR</v>
          </cell>
          <cell r="H79" t="str">
            <v>claude|with_guideline|31</v>
          </cell>
        </row>
        <row r="80">
          <cell r="D80" t="str">
            <v>ExcludeDVT</v>
          </cell>
          <cell r="E80" t="str">
            <v>PARSE_ERROR</v>
          </cell>
          <cell r="H80" t="str">
            <v>claude|with_guideline|32</v>
          </cell>
        </row>
        <row r="81">
          <cell r="D81" t="str">
            <v>TreatAnticoagulation</v>
          </cell>
          <cell r="E81" t="str">
            <v>PARSE_ERROR</v>
          </cell>
          <cell r="H81" t="str">
            <v>claude|with_guideline|41</v>
          </cell>
        </row>
        <row r="82">
          <cell r="D82" t="str">
            <v>ExcludeDVT</v>
          </cell>
          <cell r="E82" t="str">
            <v>ExcludeDVT</v>
          </cell>
          <cell r="H82" t="str">
            <v>gemini|no_guideline|1</v>
          </cell>
        </row>
        <row r="83">
          <cell r="D83" t="str">
            <v>ExcludeDVT</v>
          </cell>
          <cell r="E83" t="str">
            <v>TreatAnticoagulation</v>
          </cell>
          <cell r="H83" t="str">
            <v>gemini|no_guideline|2</v>
          </cell>
        </row>
        <row r="84">
          <cell r="D84" t="str">
            <v>ExcludeDVT</v>
          </cell>
          <cell r="E84" t="str">
            <v>ExcludeDVT</v>
          </cell>
          <cell r="H84" t="str">
            <v>gemini|no_guideline|3</v>
          </cell>
        </row>
        <row r="85">
          <cell r="D85" t="str">
            <v>TreatAnticoagulation</v>
          </cell>
          <cell r="E85" t="str">
            <v>TreatAnticoagulation</v>
          </cell>
          <cell r="H85" t="str">
            <v>gemini|no_guideline|4</v>
          </cell>
        </row>
        <row r="86">
          <cell r="D86" t="str">
            <v>ExcludeDVT</v>
          </cell>
          <cell r="E86" t="str">
            <v>ExcludeDVT</v>
          </cell>
          <cell r="H86" t="str">
            <v>gemini|no_guideline|11</v>
          </cell>
        </row>
        <row r="87">
          <cell r="D87" t="str">
            <v>TreatAnticoagulation</v>
          </cell>
          <cell r="E87" t="str">
            <v>TreatAnticoagulation</v>
          </cell>
          <cell r="H87" t="str">
            <v>gemini|no_guideline|12</v>
          </cell>
        </row>
        <row r="88">
          <cell r="D88" t="str">
            <v>TreatAnticoagulation</v>
          </cell>
          <cell r="E88" t="str">
            <v>TreatAnticoagulation</v>
          </cell>
          <cell r="H88" t="str">
            <v>gemini|no_guideline|13</v>
          </cell>
        </row>
        <row r="89">
          <cell r="D89" t="str">
            <v>RepeatUltrasoundIn1Week</v>
          </cell>
          <cell r="E89" t="str">
            <v>ExcludeDVT</v>
          </cell>
          <cell r="H89" t="str">
            <v>gemini|no_guideline|14</v>
          </cell>
        </row>
        <row r="90">
          <cell r="D90" t="str">
            <v>ExcludeDVT</v>
          </cell>
          <cell r="E90" t="str">
            <v>RepeatUltrasoundIn1Week</v>
          </cell>
          <cell r="H90" t="str">
            <v>gemini|no_guideline|21</v>
          </cell>
        </row>
        <row r="91">
          <cell r="D91" t="str">
            <v>RepeatUltrasoundIn1Week</v>
          </cell>
          <cell r="E91" t="str">
            <v>RepeatUltrasoundIn1Week</v>
          </cell>
          <cell r="H91" t="str">
            <v>gemini|no_guideline|22</v>
          </cell>
        </row>
        <row r="92">
          <cell r="D92" t="str">
            <v>RepeatUltrasoundIn1Week</v>
          </cell>
          <cell r="E92" t="str">
            <v>RepeatUltrasoundIn1Week</v>
          </cell>
          <cell r="H92" t="str">
            <v>gemini|no_guideline|23</v>
          </cell>
        </row>
        <row r="93">
          <cell r="D93" t="str">
            <v>RepeatUltrasoundIn1Week</v>
          </cell>
          <cell r="E93" t="str">
            <v>RepeatUltrasoundIn1Week</v>
          </cell>
          <cell r="H93" t="str">
            <v>gemini|no_guideline|24</v>
          </cell>
        </row>
        <row r="94">
          <cell r="D94" t="str">
            <v>RepeatUltrasoundIn1Week</v>
          </cell>
          <cell r="E94" t="str">
            <v>RepeatUltrasoundIn1Week</v>
          </cell>
          <cell r="H94" t="str">
            <v>gemini|no_guideline|25</v>
          </cell>
        </row>
        <row r="95">
          <cell r="D95" t="str">
            <v>RepeatUltrasoundIn1Week</v>
          </cell>
          <cell r="E95" t="str">
            <v>RepeatUltrasoundIn1Week</v>
          </cell>
          <cell r="H95" t="str">
            <v>gemini|no_guideline|26</v>
          </cell>
        </row>
        <row r="96">
          <cell r="D96" t="str">
            <v>RepeatUltrasoundIn1Week</v>
          </cell>
          <cell r="E96" t="str">
            <v>RepeatUltrasoundIn1Week</v>
          </cell>
          <cell r="H96" t="str">
            <v>gemini|no_guideline|27</v>
          </cell>
        </row>
        <row r="97">
          <cell r="D97" t="str">
            <v>RepeatUltrasoundIn1Week</v>
          </cell>
          <cell r="E97" t="str">
            <v>RepeatUltrasoundIn1Week</v>
          </cell>
          <cell r="H97" t="str">
            <v>gemini|no_guideline|28</v>
          </cell>
        </row>
        <row r="98">
          <cell r="D98" t="str">
            <v>RepeatUltrasoundIn1Week</v>
          </cell>
          <cell r="E98" t="str">
            <v>RepeatUltrasoundIn1Week</v>
          </cell>
          <cell r="H98" t="str">
            <v>gemini|no_guideline|29</v>
          </cell>
        </row>
        <row r="99">
          <cell r="D99" t="str">
            <v>ExcludeDVT</v>
          </cell>
          <cell r="E99" t="str">
            <v>RepeatUltrasoundIn1Week</v>
          </cell>
          <cell r="H99" t="str">
            <v>gemini|no_guideline|31</v>
          </cell>
        </row>
        <row r="100">
          <cell r="D100" t="str">
            <v>ExcludeDVT</v>
          </cell>
          <cell r="E100" t="str">
            <v>ExcludeDVT</v>
          </cell>
          <cell r="H100" t="str">
            <v>gemini|no_guideline|32</v>
          </cell>
        </row>
        <row r="101">
          <cell r="D101" t="str">
            <v>TreatAnticoagulation</v>
          </cell>
          <cell r="E101" t="str">
            <v>TreatAnticoagulation</v>
          </cell>
          <cell r="H101" t="str">
            <v>gemini|no_guideline|41</v>
          </cell>
        </row>
        <row r="102">
          <cell r="D102" t="str">
            <v>ExcludeDVT</v>
          </cell>
          <cell r="E102" t="str">
            <v>ExcludeDVT</v>
          </cell>
          <cell r="H102" t="str">
            <v>gemini|with_guideline|1</v>
          </cell>
        </row>
        <row r="103">
          <cell r="D103" t="str">
            <v>ExcludeDVT</v>
          </cell>
          <cell r="E103" t="str">
            <v>ExcludeDVT</v>
          </cell>
          <cell r="H103" t="str">
            <v>gemini|with_guideline|2</v>
          </cell>
        </row>
        <row r="104">
          <cell r="D104" t="str">
            <v>ExcludeDVT</v>
          </cell>
          <cell r="E104" t="str">
            <v>ExcludeDVT</v>
          </cell>
          <cell r="H104" t="str">
            <v>gemini|with_guideline|3</v>
          </cell>
        </row>
        <row r="105">
          <cell r="D105" t="str">
            <v>TreatAnticoagulation</v>
          </cell>
          <cell r="E105" t="str">
            <v>TreatAnticoagulation</v>
          </cell>
          <cell r="H105" t="str">
            <v>gemini|with_guideline|4</v>
          </cell>
        </row>
        <row r="106">
          <cell r="D106" t="str">
            <v>ExcludeDVT</v>
          </cell>
          <cell r="E106" t="str">
            <v>ExcludeDVT</v>
          </cell>
          <cell r="H106" t="str">
            <v>gemini|with_guideline|11</v>
          </cell>
        </row>
        <row r="107">
          <cell r="D107" t="str">
            <v>TreatAnticoagulation</v>
          </cell>
          <cell r="E107" t="str">
            <v>TreatAnticoagulation</v>
          </cell>
          <cell r="H107" t="str">
            <v>gemini|with_guideline|12</v>
          </cell>
        </row>
        <row r="108">
          <cell r="D108" t="str">
            <v>TreatAnticoagulation</v>
          </cell>
          <cell r="E108" t="str">
            <v>TreatAnticoagulation</v>
          </cell>
          <cell r="H108" t="str">
            <v>gemini|with_guideline|13</v>
          </cell>
        </row>
        <row r="109">
          <cell r="D109" t="str">
            <v>RepeatUltrasoundIn1Week</v>
          </cell>
          <cell r="E109" t="str">
            <v>TreatAnticoagulation</v>
          </cell>
          <cell r="H109" t="str">
            <v>gemini|with_guideline|14</v>
          </cell>
        </row>
        <row r="110">
          <cell r="D110" t="str">
            <v>ExcludeDVT</v>
          </cell>
          <cell r="E110" t="str">
            <v>TreatAnticoagulation</v>
          </cell>
          <cell r="H110" t="str">
            <v>gemini|with_guideline|21</v>
          </cell>
        </row>
        <row r="111">
          <cell r="D111" t="str">
            <v>RepeatUltrasoundIn1Week</v>
          </cell>
          <cell r="E111" t="str">
            <v>RepeatUltrasoundIn1Week</v>
          </cell>
          <cell r="H111" t="str">
            <v>gemini|with_guideline|22</v>
          </cell>
        </row>
        <row r="112">
          <cell r="D112" t="str">
            <v>RepeatUltrasoundIn1Week</v>
          </cell>
          <cell r="E112" t="str">
            <v>RepeatUltrasoundIn1Week</v>
          </cell>
          <cell r="H112" t="str">
            <v>gemini|with_guideline|23</v>
          </cell>
        </row>
        <row r="113">
          <cell r="D113" t="str">
            <v>RepeatUltrasoundIn1Week</v>
          </cell>
          <cell r="E113" t="str">
            <v>RepeatUltrasoundIn1Week</v>
          </cell>
          <cell r="H113" t="str">
            <v>gemini|with_guideline|24</v>
          </cell>
        </row>
        <row r="114">
          <cell r="D114" t="str">
            <v>RepeatUltrasoundIn1Week</v>
          </cell>
          <cell r="E114" t="str">
            <v>TreatAnticoagulation</v>
          </cell>
          <cell r="H114" t="str">
            <v>gemini|with_guideline|25</v>
          </cell>
        </row>
        <row r="115">
          <cell r="D115" t="str">
            <v>RepeatUltrasoundIn1Week</v>
          </cell>
          <cell r="E115" t="str">
            <v>TreatAnticoagulation</v>
          </cell>
          <cell r="H115" t="str">
            <v>gemini|with_guideline|26</v>
          </cell>
        </row>
        <row r="116">
          <cell r="D116" t="str">
            <v>RepeatUltrasoundIn1Week</v>
          </cell>
          <cell r="E116" t="str">
            <v>RepeatUltrasoundIn1Week</v>
          </cell>
          <cell r="H116" t="str">
            <v>gemini|with_guideline|27</v>
          </cell>
        </row>
        <row r="117">
          <cell r="D117" t="str">
            <v>RepeatUltrasoundIn1Week</v>
          </cell>
          <cell r="E117" t="str">
            <v>RepeatUltrasoundIn1Week</v>
          </cell>
          <cell r="H117" t="str">
            <v>gemini|with_guideline|28</v>
          </cell>
        </row>
        <row r="118">
          <cell r="D118" t="str">
            <v>RepeatUltrasoundIn1Week</v>
          </cell>
          <cell r="E118" t="str">
            <v>TreatAnticoagulation</v>
          </cell>
          <cell r="H118" t="str">
            <v>gemini|with_guideline|29</v>
          </cell>
        </row>
        <row r="119">
          <cell r="D119" t="str">
            <v>ExcludeDVT</v>
          </cell>
          <cell r="E119" t="str">
            <v>TreatAnticoagulation</v>
          </cell>
          <cell r="H119" t="str">
            <v>gemini|with_guideline|31</v>
          </cell>
        </row>
        <row r="120">
          <cell r="D120" t="str">
            <v>ExcludeDVT</v>
          </cell>
          <cell r="E120" t="str">
            <v>ExcludeDVT</v>
          </cell>
          <cell r="H120" t="str">
            <v>gemini|with_guideline|32</v>
          </cell>
        </row>
        <row r="121">
          <cell r="D121" t="str">
            <v>TreatAnticoagulation</v>
          </cell>
          <cell r="E121" t="str">
            <v>TreatAnticoagulation</v>
          </cell>
          <cell r="H121" t="str">
            <v>gemini|with_guideline|41</v>
          </cell>
        </row>
        <row r="122">
          <cell r="D122" t="str">
            <v>ExcludeDVT</v>
          </cell>
          <cell r="E122" t="str">
            <v>PARSE_ERROR</v>
          </cell>
          <cell r="H122" t="str">
            <v>llama|no_guideline|1</v>
          </cell>
        </row>
        <row r="123">
          <cell r="D123" t="str">
            <v>ExcludeDVT</v>
          </cell>
          <cell r="E123" t="str">
            <v>TreatAnticoagulation</v>
          </cell>
          <cell r="H123" t="str">
            <v>llama|no_guideline|2</v>
          </cell>
        </row>
        <row r="124">
          <cell r="D124" t="str">
            <v>ExcludeDVT</v>
          </cell>
          <cell r="E124" t="str">
            <v>PARSE_ERROR</v>
          </cell>
          <cell r="H124" t="str">
            <v>llama|no_guideline|3</v>
          </cell>
        </row>
        <row r="125">
          <cell r="D125" t="str">
            <v>TreatAnticoagulation</v>
          </cell>
          <cell r="E125" t="str">
            <v>PARSE_ERROR</v>
          </cell>
          <cell r="H125" t="str">
            <v>llama|no_guideline|4</v>
          </cell>
        </row>
        <row r="126">
          <cell r="D126" t="str">
            <v>ExcludeDVT</v>
          </cell>
          <cell r="E126" t="str">
            <v>PARSE_ERROR</v>
          </cell>
          <cell r="H126" t="str">
            <v>llama|no_guideline|11</v>
          </cell>
        </row>
        <row r="127">
          <cell r="D127" t="str">
            <v>TreatAnticoagulation</v>
          </cell>
          <cell r="E127" t="str">
            <v>PARSE_ERROR</v>
          </cell>
          <cell r="H127" t="str">
            <v>llama|no_guideline|12</v>
          </cell>
        </row>
        <row r="128">
          <cell r="D128" t="str">
            <v>TreatAnticoagulation</v>
          </cell>
          <cell r="E128" t="str">
            <v>PARSE_ERROR</v>
          </cell>
          <cell r="H128" t="str">
            <v>llama|no_guideline|13</v>
          </cell>
        </row>
        <row r="129">
          <cell r="D129" t="str">
            <v>RepeatUltrasoundIn1Week</v>
          </cell>
          <cell r="E129" t="str">
            <v>PARSE_ERROR</v>
          </cell>
          <cell r="H129" t="str">
            <v>llama|no_guideline|14</v>
          </cell>
        </row>
        <row r="130">
          <cell r="D130" t="str">
            <v>ExcludeDVT</v>
          </cell>
          <cell r="E130" t="str">
            <v>PARSE_ERROR</v>
          </cell>
          <cell r="H130" t="str">
            <v>llama|no_guideline|21</v>
          </cell>
        </row>
        <row r="131">
          <cell r="D131" t="str">
            <v>RepeatUltrasoundIn1Week</v>
          </cell>
          <cell r="E131" t="str">
            <v>PARSE_ERROR</v>
          </cell>
          <cell r="H131" t="str">
            <v>llama|no_guideline|22</v>
          </cell>
        </row>
        <row r="132">
          <cell r="D132" t="str">
            <v>RepeatUltrasoundIn1Week</v>
          </cell>
          <cell r="E132" t="str">
            <v>PARSE_ERROR</v>
          </cell>
          <cell r="H132" t="str">
            <v>llama|no_guideline|23</v>
          </cell>
        </row>
        <row r="133">
          <cell r="D133" t="str">
            <v>RepeatUltrasoundIn1Week</v>
          </cell>
          <cell r="E133" t="str">
            <v>PARSE_ERROR</v>
          </cell>
          <cell r="H133" t="str">
            <v>llama|no_guideline|24</v>
          </cell>
        </row>
        <row r="134">
          <cell r="D134" t="str">
            <v>RepeatUltrasoundIn1Week</v>
          </cell>
          <cell r="E134" t="str">
            <v>PARSE_ERROR</v>
          </cell>
          <cell r="H134" t="str">
            <v>llama|no_guideline|25</v>
          </cell>
        </row>
        <row r="135">
          <cell r="D135" t="str">
            <v>RepeatUltrasoundIn1Week</v>
          </cell>
          <cell r="E135" t="str">
            <v>PARSE_ERROR</v>
          </cell>
          <cell r="H135" t="str">
            <v>llama|no_guideline|26</v>
          </cell>
        </row>
        <row r="136">
          <cell r="D136" t="str">
            <v>RepeatUltrasoundIn1Week</v>
          </cell>
          <cell r="E136" t="str">
            <v>PARSE_ERROR</v>
          </cell>
          <cell r="H136" t="str">
            <v>llama|no_guideline|27</v>
          </cell>
        </row>
        <row r="137">
          <cell r="D137" t="str">
            <v>RepeatUltrasoundIn1Week</v>
          </cell>
          <cell r="E137" t="str">
            <v>PARSE_ERROR</v>
          </cell>
          <cell r="H137" t="str">
            <v>llama|no_guideline|28</v>
          </cell>
        </row>
        <row r="138">
          <cell r="D138" t="str">
            <v>RepeatUltrasoundIn1Week</v>
          </cell>
          <cell r="E138" t="str">
            <v>PARSE_ERROR</v>
          </cell>
          <cell r="H138" t="str">
            <v>llama|no_guideline|29</v>
          </cell>
        </row>
        <row r="139">
          <cell r="D139" t="str">
            <v>ExcludeDVT</v>
          </cell>
          <cell r="E139" t="str">
            <v>PARSE_ERROR</v>
          </cell>
          <cell r="H139" t="str">
            <v>llama|no_guideline|31</v>
          </cell>
        </row>
        <row r="140">
          <cell r="D140" t="str">
            <v>ExcludeDVT</v>
          </cell>
          <cell r="E140" t="str">
            <v>PARSE_ERROR</v>
          </cell>
          <cell r="H140" t="str">
            <v>llama|no_guideline|32</v>
          </cell>
        </row>
        <row r="141">
          <cell r="D141" t="str">
            <v>TreatAnticoagulation</v>
          </cell>
          <cell r="E141" t="str">
            <v>PARSE_ERROR</v>
          </cell>
          <cell r="H141" t="str">
            <v>llama|no_guideline|41</v>
          </cell>
        </row>
        <row r="142">
          <cell r="D142" t="str">
            <v>ExcludeDVT</v>
          </cell>
          <cell r="E142" t="str">
            <v>PARSE_ERROR</v>
          </cell>
          <cell r="H142" t="str">
            <v>llama|with_guideline|1</v>
          </cell>
        </row>
        <row r="143">
          <cell r="D143" t="str">
            <v>ExcludeDVT</v>
          </cell>
          <cell r="E143" t="str">
            <v>PARSE_ERROR</v>
          </cell>
          <cell r="H143" t="str">
            <v>llama|with_guideline|2</v>
          </cell>
        </row>
        <row r="144">
          <cell r="D144" t="str">
            <v>ExcludeDVT</v>
          </cell>
          <cell r="E144" t="str">
            <v>PARSE_ERROR</v>
          </cell>
          <cell r="H144" t="str">
            <v>llama|with_guideline|3</v>
          </cell>
        </row>
        <row r="145">
          <cell r="D145" t="str">
            <v>TreatAnticoagulation</v>
          </cell>
          <cell r="E145" t="str">
            <v>PARSE_ERROR</v>
          </cell>
          <cell r="H145" t="str">
            <v>llama|with_guideline|4</v>
          </cell>
        </row>
        <row r="146">
          <cell r="D146" t="str">
            <v>ExcludeDVT</v>
          </cell>
          <cell r="E146" t="str">
            <v>PARSE_ERROR</v>
          </cell>
          <cell r="H146" t="str">
            <v>llama|with_guideline|11</v>
          </cell>
        </row>
        <row r="147">
          <cell r="D147" t="str">
            <v>TreatAnticoagulation</v>
          </cell>
          <cell r="E147" t="str">
            <v>PARSE_ERROR</v>
          </cell>
          <cell r="H147" t="str">
            <v>llama|with_guideline|12</v>
          </cell>
        </row>
        <row r="148">
          <cell r="D148" t="str">
            <v>TreatAnticoagulation</v>
          </cell>
          <cell r="E148" t="str">
            <v>PARSE_ERROR</v>
          </cell>
          <cell r="H148" t="str">
            <v>llama|with_guideline|13</v>
          </cell>
        </row>
        <row r="149">
          <cell r="D149" t="str">
            <v>RepeatUltrasoundIn1Week</v>
          </cell>
          <cell r="E149" t="str">
            <v>PARSE_ERROR</v>
          </cell>
          <cell r="H149" t="str">
            <v>llama|with_guideline|14</v>
          </cell>
        </row>
        <row r="150">
          <cell r="D150" t="str">
            <v>ExcludeDVT</v>
          </cell>
          <cell r="E150" t="str">
            <v>PARSE_ERROR</v>
          </cell>
          <cell r="H150" t="str">
            <v>llama|with_guideline|21</v>
          </cell>
        </row>
        <row r="151">
          <cell r="D151" t="str">
            <v>RepeatUltrasoundIn1Week</v>
          </cell>
          <cell r="E151" t="str">
            <v>PARSE_ERROR</v>
          </cell>
          <cell r="H151" t="str">
            <v>llama|with_guideline|22</v>
          </cell>
        </row>
        <row r="152">
          <cell r="D152" t="str">
            <v>RepeatUltrasoundIn1Week</v>
          </cell>
          <cell r="E152" t="str">
            <v>PARSE_ERROR</v>
          </cell>
          <cell r="H152" t="str">
            <v>llama|with_guideline|23</v>
          </cell>
        </row>
        <row r="153">
          <cell r="D153" t="str">
            <v>RepeatUltrasoundIn1Week</v>
          </cell>
          <cell r="E153" t="str">
            <v>PARSE_ERROR</v>
          </cell>
          <cell r="H153" t="str">
            <v>llama|with_guideline|24</v>
          </cell>
        </row>
        <row r="154">
          <cell r="D154" t="str">
            <v>RepeatUltrasoundIn1Week</v>
          </cell>
          <cell r="E154" t="str">
            <v>PARSE_ERROR</v>
          </cell>
          <cell r="H154" t="str">
            <v>llama|with_guideline|25</v>
          </cell>
        </row>
        <row r="155">
          <cell r="D155" t="str">
            <v>RepeatUltrasoundIn1Week</v>
          </cell>
          <cell r="E155" t="str">
            <v>PARSE_ERROR</v>
          </cell>
          <cell r="H155" t="str">
            <v>llama|with_guideline|26</v>
          </cell>
        </row>
        <row r="156">
          <cell r="D156" t="str">
            <v>RepeatUltrasoundIn1Week</v>
          </cell>
          <cell r="E156" t="str">
            <v>PARSE_ERROR</v>
          </cell>
          <cell r="H156" t="str">
            <v>llama|with_guideline|27</v>
          </cell>
        </row>
        <row r="157">
          <cell r="D157" t="str">
            <v>RepeatUltrasoundIn1Week</v>
          </cell>
          <cell r="E157" t="str">
            <v>PARSE_ERROR</v>
          </cell>
          <cell r="H157" t="str">
            <v>llama|with_guideline|28</v>
          </cell>
        </row>
        <row r="158">
          <cell r="D158" t="str">
            <v>RepeatUltrasoundIn1Week</v>
          </cell>
          <cell r="E158" t="str">
            <v>PARSE_ERROR</v>
          </cell>
          <cell r="H158" t="str">
            <v>llama|with_guideline|29</v>
          </cell>
        </row>
        <row r="159">
          <cell r="D159" t="str">
            <v>ExcludeDVT</v>
          </cell>
          <cell r="E159" t="str">
            <v>PARSE_ERROR</v>
          </cell>
          <cell r="H159" t="str">
            <v>llama|with_guideline|31</v>
          </cell>
        </row>
        <row r="160">
          <cell r="D160" t="str">
            <v>ExcludeDVT</v>
          </cell>
          <cell r="E160" t="str">
            <v>PARSE_ERROR</v>
          </cell>
          <cell r="H160" t="str">
            <v>llama|with_guideline|32</v>
          </cell>
        </row>
        <row r="161">
          <cell r="D161" t="str">
            <v>TreatAnticoagulation</v>
          </cell>
          <cell r="E161" t="str">
            <v>PARSE_ERROR</v>
          </cell>
          <cell r="H161" t="str">
            <v>llama|with_guideline|41</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9"/>
  <sheetViews>
    <sheetView zoomScaleNormal="100" workbookViewId="0">
      <pane ySplit="1" topLeftCell="A110" activePane="bottomLeft" state="frozen"/>
      <selection pane="bottomLeft" activeCell="G140" sqref="D135:G140"/>
    </sheetView>
  </sheetViews>
  <sheetFormatPr baseColWidth="10" defaultColWidth="8.6640625" defaultRowHeight="15" x14ac:dyDescent="0.2"/>
  <cols>
    <col min="1" max="1" width="10" customWidth="1"/>
    <col min="2" max="2" width="16" customWidth="1"/>
    <col min="3" max="3" width="11" customWidth="1"/>
    <col min="4" max="5" width="20" customWidth="1"/>
    <col min="6" max="6" width="10" customWidth="1"/>
    <col min="7" max="7" width="90" customWidth="1"/>
    <col min="8" max="8" width="28"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10</v>
      </c>
      <c r="E2" s="2" t="s">
        <v>11</v>
      </c>
      <c r="F2" s="3" t="b">
        <f>FALSE()</f>
        <v>0</v>
      </c>
      <c r="G2" s="2" t="s">
        <v>12</v>
      </c>
      <c r="H2" s="2" t="str">
        <f t="shared" ref="H2:H33" si="0">A2&amp;"|"&amp;B2&amp;"|"&amp;C2</f>
        <v>gpt|no_guideline|1</v>
      </c>
    </row>
    <row r="3" spans="1:8" x14ac:dyDescent="0.2">
      <c r="A3" s="2" t="s">
        <v>8</v>
      </c>
      <c r="B3" s="2" t="s">
        <v>9</v>
      </c>
      <c r="C3" s="2">
        <v>2</v>
      </c>
      <c r="D3" s="2" t="s">
        <v>10</v>
      </c>
      <c r="E3" s="2" t="s">
        <v>11</v>
      </c>
      <c r="F3" s="3" t="b">
        <f>FALSE()</f>
        <v>0</v>
      </c>
      <c r="G3" s="2" t="s">
        <v>13</v>
      </c>
      <c r="H3" s="2" t="str">
        <f t="shared" si="0"/>
        <v>gpt|no_guideline|2</v>
      </c>
    </row>
    <row r="4" spans="1:8" x14ac:dyDescent="0.2">
      <c r="A4" s="2" t="s">
        <v>8</v>
      </c>
      <c r="B4" s="2" t="s">
        <v>9</v>
      </c>
      <c r="C4" s="2">
        <v>3</v>
      </c>
      <c r="D4" s="2" t="s">
        <v>10</v>
      </c>
      <c r="E4" s="2" t="s">
        <v>10</v>
      </c>
      <c r="F4" s="4" t="b">
        <f>TRUE()</f>
        <v>1</v>
      </c>
      <c r="G4" s="2" t="s">
        <v>14</v>
      </c>
      <c r="H4" s="2" t="str">
        <f t="shared" si="0"/>
        <v>gpt|no_guideline|3</v>
      </c>
    </row>
    <row r="5" spans="1:8" x14ac:dyDescent="0.2">
      <c r="A5" s="2" t="s">
        <v>8</v>
      </c>
      <c r="B5" s="2" t="s">
        <v>9</v>
      </c>
      <c r="C5" s="2">
        <v>4</v>
      </c>
      <c r="D5" s="2" t="s">
        <v>10</v>
      </c>
      <c r="E5" s="2" t="s">
        <v>11</v>
      </c>
      <c r="F5" s="3" t="b">
        <f>FALSE()</f>
        <v>0</v>
      </c>
      <c r="G5" s="2" t="s">
        <v>15</v>
      </c>
      <c r="H5" s="2" t="str">
        <f t="shared" si="0"/>
        <v>gpt|no_guideline|4</v>
      </c>
    </row>
    <row r="6" spans="1:8" x14ac:dyDescent="0.2">
      <c r="A6" s="2" t="s">
        <v>8</v>
      </c>
      <c r="B6" s="2" t="s">
        <v>9</v>
      </c>
      <c r="C6" s="2">
        <v>11</v>
      </c>
      <c r="D6" s="2" t="s">
        <v>10</v>
      </c>
      <c r="E6" s="2" t="s">
        <v>10</v>
      </c>
      <c r="F6" s="4" t="b">
        <f>TRUE()</f>
        <v>1</v>
      </c>
      <c r="G6" s="2" t="s">
        <v>16</v>
      </c>
      <c r="H6" s="2" t="str">
        <f t="shared" si="0"/>
        <v>gpt|no_guideline|11</v>
      </c>
    </row>
    <row r="7" spans="1:8" x14ac:dyDescent="0.2">
      <c r="A7" s="2" t="s">
        <v>8</v>
      </c>
      <c r="B7" s="2" t="s">
        <v>9</v>
      </c>
      <c r="C7" s="2">
        <v>12</v>
      </c>
      <c r="D7" s="2" t="s">
        <v>10</v>
      </c>
      <c r="E7" s="2" t="s">
        <v>11</v>
      </c>
      <c r="F7" s="3" t="b">
        <f>FALSE()</f>
        <v>0</v>
      </c>
      <c r="G7" s="2" t="s">
        <v>17</v>
      </c>
      <c r="H7" s="2" t="str">
        <f t="shared" si="0"/>
        <v>gpt|no_guideline|12</v>
      </c>
    </row>
    <row r="8" spans="1:8" x14ac:dyDescent="0.2">
      <c r="A8" s="2" t="s">
        <v>8</v>
      </c>
      <c r="B8" s="2" t="s">
        <v>9</v>
      </c>
      <c r="C8" s="2">
        <v>13</v>
      </c>
      <c r="D8" s="2" t="s">
        <v>10</v>
      </c>
      <c r="E8" s="2" t="s">
        <v>11</v>
      </c>
      <c r="F8" s="3" t="b">
        <f>FALSE()</f>
        <v>0</v>
      </c>
      <c r="G8" s="2" t="s">
        <v>18</v>
      </c>
      <c r="H8" s="2" t="str">
        <f t="shared" si="0"/>
        <v>gpt|no_guideline|13</v>
      </c>
    </row>
    <row r="9" spans="1:8" x14ac:dyDescent="0.2">
      <c r="A9" s="2" t="s">
        <v>8</v>
      </c>
      <c r="B9" s="2" t="s">
        <v>9</v>
      </c>
      <c r="C9" s="2">
        <v>21</v>
      </c>
      <c r="D9" s="2" t="s">
        <v>10</v>
      </c>
      <c r="E9" s="2" t="s">
        <v>11</v>
      </c>
      <c r="F9" s="3" t="b">
        <f>FALSE()</f>
        <v>0</v>
      </c>
      <c r="G9" s="2" t="s">
        <v>19</v>
      </c>
      <c r="H9" s="2" t="str">
        <f t="shared" si="0"/>
        <v>gpt|no_guideline|21</v>
      </c>
    </row>
    <row r="10" spans="1:8" x14ac:dyDescent="0.2">
      <c r="A10" s="2" t="s">
        <v>8</v>
      </c>
      <c r="B10" s="2" t="s">
        <v>9</v>
      </c>
      <c r="C10" s="2">
        <v>22</v>
      </c>
      <c r="D10" s="2" t="s">
        <v>10</v>
      </c>
      <c r="E10" s="2" t="s">
        <v>11</v>
      </c>
      <c r="F10" s="3" t="b">
        <f>FALSE()</f>
        <v>0</v>
      </c>
      <c r="G10" s="2" t="s">
        <v>20</v>
      </c>
      <c r="H10" s="2" t="str">
        <f t="shared" si="0"/>
        <v>gpt|no_guideline|22</v>
      </c>
    </row>
    <row r="11" spans="1:8" x14ac:dyDescent="0.2">
      <c r="A11" s="2" t="s">
        <v>8</v>
      </c>
      <c r="B11" s="2" t="s">
        <v>9</v>
      </c>
      <c r="C11" s="2">
        <v>31</v>
      </c>
      <c r="D11" s="2" t="s">
        <v>10</v>
      </c>
      <c r="E11" s="2" t="s">
        <v>10</v>
      </c>
      <c r="F11" s="4" t="b">
        <f>TRUE()</f>
        <v>1</v>
      </c>
      <c r="G11" s="2" t="s">
        <v>21</v>
      </c>
      <c r="H11" s="2" t="str">
        <f t="shared" si="0"/>
        <v>gpt|no_guideline|31</v>
      </c>
    </row>
    <row r="12" spans="1:8" x14ac:dyDescent="0.2">
      <c r="A12" s="2" t="s">
        <v>8</v>
      </c>
      <c r="B12" s="2" t="s">
        <v>9</v>
      </c>
      <c r="C12" s="2">
        <v>32</v>
      </c>
      <c r="D12" s="2" t="s">
        <v>10</v>
      </c>
      <c r="E12" s="2" t="s">
        <v>10</v>
      </c>
      <c r="F12" s="4" t="b">
        <f>TRUE()</f>
        <v>1</v>
      </c>
      <c r="G12" s="2" t="s">
        <v>22</v>
      </c>
      <c r="H12" s="2" t="str">
        <f t="shared" si="0"/>
        <v>gpt|no_guideline|32</v>
      </c>
    </row>
    <row r="13" spans="1:8" x14ac:dyDescent="0.2">
      <c r="A13" s="2" t="s">
        <v>8</v>
      </c>
      <c r="B13" s="2" t="s">
        <v>9</v>
      </c>
      <c r="C13" s="2">
        <v>41</v>
      </c>
      <c r="D13" s="2" t="s">
        <v>11</v>
      </c>
      <c r="E13" s="2" t="s">
        <v>11</v>
      </c>
      <c r="F13" s="4" t="b">
        <f>TRUE()</f>
        <v>1</v>
      </c>
      <c r="G13" s="2" t="s">
        <v>23</v>
      </c>
      <c r="H13" s="2" t="str">
        <f t="shared" si="0"/>
        <v>gpt|no_guideline|41</v>
      </c>
    </row>
    <row r="14" spans="1:8" x14ac:dyDescent="0.2">
      <c r="A14" s="2" t="s">
        <v>8</v>
      </c>
      <c r="B14" s="2" t="s">
        <v>9</v>
      </c>
      <c r="C14" s="2">
        <v>42</v>
      </c>
      <c r="D14" s="2" t="s">
        <v>11</v>
      </c>
      <c r="E14" s="2" t="s">
        <v>11</v>
      </c>
      <c r="F14" s="4" t="b">
        <f>TRUE()</f>
        <v>1</v>
      </c>
      <c r="G14" s="2" t="s">
        <v>24</v>
      </c>
      <c r="H14" s="2" t="str">
        <f t="shared" si="0"/>
        <v>gpt|no_guideline|42</v>
      </c>
    </row>
    <row r="15" spans="1:8" x14ac:dyDescent="0.2">
      <c r="A15" s="2" t="s">
        <v>8</v>
      </c>
      <c r="B15" s="2" t="s">
        <v>9</v>
      </c>
      <c r="C15" s="2">
        <v>51</v>
      </c>
      <c r="D15" s="2" t="s">
        <v>11</v>
      </c>
      <c r="E15" s="2" t="s">
        <v>11</v>
      </c>
      <c r="F15" s="4" t="b">
        <f>TRUE()</f>
        <v>1</v>
      </c>
      <c r="G15" s="2" t="s">
        <v>25</v>
      </c>
      <c r="H15" s="2" t="str">
        <f t="shared" si="0"/>
        <v>gpt|no_guideline|51</v>
      </c>
    </row>
    <row r="16" spans="1:8" x14ac:dyDescent="0.2">
      <c r="A16" s="2" t="s">
        <v>8</v>
      </c>
      <c r="B16" s="2" t="s">
        <v>9</v>
      </c>
      <c r="C16" s="2">
        <v>52</v>
      </c>
      <c r="D16" s="2" t="s">
        <v>11</v>
      </c>
      <c r="E16" s="2" t="s">
        <v>11</v>
      </c>
      <c r="F16" s="4" t="b">
        <f>TRUE()</f>
        <v>1</v>
      </c>
      <c r="G16" s="2" t="s">
        <v>26</v>
      </c>
      <c r="H16" s="2" t="str">
        <f t="shared" si="0"/>
        <v>gpt|no_guideline|52</v>
      </c>
    </row>
    <row r="17" spans="1:8" x14ac:dyDescent="0.2">
      <c r="A17" s="2" t="s">
        <v>8</v>
      </c>
      <c r="B17" s="2" t="s">
        <v>27</v>
      </c>
      <c r="C17" s="2">
        <v>1</v>
      </c>
      <c r="D17" s="2" t="s">
        <v>10</v>
      </c>
      <c r="E17" s="2" t="s">
        <v>10</v>
      </c>
      <c r="F17" s="4" t="b">
        <f>TRUE()</f>
        <v>1</v>
      </c>
      <c r="G17" s="2" t="s">
        <v>12</v>
      </c>
      <c r="H17" s="2" t="str">
        <f t="shared" si="0"/>
        <v>gpt|with_guideline|1</v>
      </c>
    </row>
    <row r="18" spans="1:8" x14ac:dyDescent="0.2">
      <c r="A18" s="2" t="s">
        <v>8</v>
      </c>
      <c r="B18" s="2" t="s">
        <v>27</v>
      </c>
      <c r="C18" s="2">
        <v>2</v>
      </c>
      <c r="D18" s="2" t="s">
        <v>10</v>
      </c>
      <c r="E18" s="2" t="s">
        <v>10</v>
      </c>
      <c r="F18" s="4" t="b">
        <f>TRUE()</f>
        <v>1</v>
      </c>
      <c r="G18" s="2" t="s">
        <v>13</v>
      </c>
      <c r="H18" s="2" t="str">
        <f t="shared" si="0"/>
        <v>gpt|with_guideline|2</v>
      </c>
    </row>
    <row r="19" spans="1:8" x14ac:dyDescent="0.2">
      <c r="A19" s="2" t="s">
        <v>8</v>
      </c>
      <c r="B19" s="2" t="s">
        <v>27</v>
      </c>
      <c r="C19" s="2">
        <v>3</v>
      </c>
      <c r="D19" s="2" t="s">
        <v>10</v>
      </c>
      <c r="E19" s="2" t="s">
        <v>10</v>
      </c>
      <c r="F19" s="4" t="b">
        <f>TRUE()</f>
        <v>1</v>
      </c>
      <c r="G19" s="2" t="s">
        <v>14</v>
      </c>
      <c r="H19" s="2" t="str">
        <f t="shared" si="0"/>
        <v>gpt|with_guideline|3</v>
      </c>
    </row>
    <row r="20" spans="1:8" x14ac:dyDescent="0.2">
      <c r="A20" s="2" t="s">
        <v>8</v>
      </c>
      <c r="B20" s="2" t="s">
        <v>27</v>
      </c>
      <c r="C20" s="2">
        <v>4</v>
      </c>
      <c r="D20" s="2" t="s">
        <v>10</v>
      </c>
      <c r="E20" s="2" t="s">
        <v>10</v>
      </c>
      <c r="F20" s="4" t="b">
        <f>TRUE()</f>
        <v>1</v>
      </c>
      <c r="G20" s="2" t="s">
        <v>15</v>
      </c>
      <c r="H20" s="2" t="str">
        <f t="shared" si="0"/>
        <v>gpt|with_guideline|4</v>
      </c>
    </row>
    <row r="21" spans="1:8" x14ac:dyDescent="0.2">
      <c r="A21" s="2" t="s">
        <v>8</v>
      </c>
      <c r="B21" s="2" t="s">
        <v>27</v>
      </c>
      <c r="C21" s="2">
        <v>11</v>
      </c>
      <c r="D21" s="2" t="s">
        <v>10</v>
      </c>
      <c r="E21" s="2" t="s">
        <v>10</v>
      </c>
      <c r="F21" s="4" t="b">
        <f>TRUE()</f>
        <v>1</v>
      </c>
      <c r="G21" s="2" t="s">
        <v>16</v>
      </c>
      <c r="H21" s="2" t="str">
        <f t="shared" si="0"/>
        <v>gpt|with_guideline|11</v>
      </c>
    </row>
    <row r="22" spans="1:8" x14ac:dyDescent="0.2">
      <c r="A22" s="2" t="s">
        <v>8</v>
      </c>
      <c r="B22" s="2" t="s">
        <v>27</v>
      </c>
      <c r="C22" s="2">
        <v>12</v>
      </c>
      <c r="D22" s="2" t="s">
        <v>10</v>
      </c>
      <c r="E22" s="2" t="s">
        <v>10</v>
      </c>
      <c r="F22" s="4" t="b">
        <f>TRUE()</f>
        <v>1</v>
      </c>
      <c r="G22" s="2" t="s">
        <v>17</v>
      </c>
      <c r="H22" s="2" t="str">
        <f t="shared" si="0"/>
        <v>gpt|with_guideline|12</v>
      </c>
    </row>
    <row r="23" spans="1:8" x14ac:dyDescent="0.2">
      <c r="A23" s="2" t="s">
        <v>8</v>
      </c>
      <c r="B23" s="2" t="s">
        <v>27</v>
      </c>
      <c r="C23" s="2">
        <v>13</v>
      </c>
      <c r="D23" s="2" t="s">
        <v>10</v>
      </c>
      <c r="E23" s="2" t="s">
        <v>10</v>
      </c>
      <c r="F23" s="4" t="b">
        <f>TRUE()</f>
        <v>1</v>
      </c>
      <c r="G23" s="2" t="s">
        <v>18</v>
      </c>
      <c r="H23" s="2" t="str">
        <f t="shared" si="0"/>
        <v>gpt|with_guideline|13</v>
      </c>
    </row>
    <row r="24" spans="1:8" x14ac:dyDescent="0.2">
      <c r="A24" s="2" t="s">
        <v>8</v>
      </c>
      <c r="B24" s="2" t="s">
        <v>27</v>
      </c>
      <c r="C24" s="2">
        <v>21</v>
      </c>
      <c r="D24" s="2" t="s">
        <v>10</v>
      </c>
      <c r="E24" s="2" t="s">
        <v>10</v>
      </c>
      <c r="F24" s="4" t="b">
        <f>TRUE()</f>
        <v>1</v>
      </c>
      <c r="G24" s="2" t="s">
        <v>19</v>
      </c>
      <c r="H24" s="2" t="str">
        <f t="shared" si="0"/>
        <v>gpt|with_guideline|21</v>
      </c>
    </row>
    <row r="25" spans="1:8" x14ac:dyDescent="0.2">
      <c r="A25" s="2" t="s">
        <v>8</v>
      </c>
      <c r="B25" s="2" t="s">
        <v>27</v>
      </c>
      <c r="C25" s="2">
        <v>22</v>
      </c>
      <c r="D25" s="2" t="s">
        <v>10</v>
      </c>
      <c r="E25" s="2" t="s">
        <v>10</v>
      </c>
      <c r="F25" s="4" t="b">
        <f>TRUE()</f>
        <v>1</v>
      </c>
      <c r="G25" s="2" t="s">
        <v>20</v>
      </c>
      <c r="H25" s="2" t="str">
        <f t="shared" si="0"/>
        <v>gpt|with_guideline|22</v>
      </c>
    </row>
    <row r="26" spans="1:8" x14ac:dyDescent="0.2">
      <c r="A26" s="2" t="s">
        <v>8</v>
      </c>
      <c r="B26" s="2" t="s">
        <v>27</v>
      </c>
      <c r="C26" s="2">
        <v>31</v>
      </c>
      <c r="D26" s="2" t="s">
        <v>10</v>
      </c>
      <c r="E26" s="2" t="s">
        <v>10</v>
      </c>
      <c r="F26" s="4" t="b">
        <f>TRUE()</f>
        <v>1</v>
      </c>
      <c r="G26" s="2" t="s">
        <v>21</v>
      </c>
      <c r="H26" s="2" t="str">
        <f t="shared" si="0"/>
        <v>gpt|with_guideline|31</v>
      </c>
    </row>
    <row r="27" spans="1:8" x14ac:dyDescent="0.2">
      <c r="A27" s="2" t="s">
        <v>8</v>
      </c>
      <c r="B27" s="2" t="s">
        <v>27</v>
      </c>
      <c r="C27" s="2">
        <v>32</v>
      </c>
      <c r="D27" s="2" t="s">
        <v>10</v>
      </c>
      <c r="E27" s="2" t="s">
        <v>10</v>
      </c>
      <c r="F27" s="4" t="b">
        <f>TRUE()</f>
        <v>1</v>
      </c>
      <c r="G27" s="2" t="s">
        <v>22</v>
      </c>
      <c r="H27" s="2" t="str">
        <f t="shared" si="0"/>
        <v>gpt|with_guideline|32</v>
      </c>
    </row>
    <row r="28" spans="1:8" x14ac:dyDescent="0.2">
      <c r="A28" s="2" t="s">
        <v>8</v>
      </c>
      <c r="B28" s="2" t="s">
        <v>27</v>
      </c>
      <c r="C28" s="2">
        <v>41</v>
      </c>
      <c r="D28" s="2" t="s">
        <v>11</v>
      </c>
      <c r="E28" s="2" t="s">
        <v>11</v>
      </c>
      <c r="F28" s="4" t="b">
        <f>TRUE()</f>
        <v>1</v>
      </c>
      <c r="G28" s="2" t="s">
        <v>23</v>
      </c>
      <c r="H28" s="2" t="str">
        <f t="shared" si="0"/>
        <v>gpt|with_guideline|41</v>
      </c>
    </row>
    <row r="29" spans="1:8" x14ac:dyDescent="0.2">
      <c r="A29" s="2" t="s">
        <v>8</v>
      </c>
      <c r="B29" s="2" t="s">
        <v>27</v>
      </c>
      <c r="C29" s="2">
        <v>42</v>
      </c>
      <c r="D29" s="2" t="s">
        <v>11</v>
      </c>
      <c r="E29" s="2" t="s">
        <v>11</v>
      </c>
      <c r="F29" s="4" t="b">
        <f>TRUE()</f>
        <v>1</v>
      </c>
      <c r="G29" s="2" t="s">
        <v>24</v>
      </c>
      <c r="H29" s="2" t="str">
        <f t="shared" si="0"/>
        <v>gpt|with_guideline|42</v>
      </c>
    </row>
    <row r="30" spans="1:8" x14ac:dyDescent="0.2">
      <c r="A30" s="2" t="s">
        <v>8</v>
      </c>
      <c r="B30" s="2" t="s">
        <v>27</v>
      </c>
      <c r="C30" s="2">
        <v>51</v>
      </c>
      <c r="D30" s="2" t="s">
        <v>11</v>
      </c>
      <c r="E30" s="2" t="s">
        <v>11</v>
      </c>
      <c r="F30" s="4" t="b">
        <f>TRUE()</f>
        <v>1</v>
      </c>
      <c r="G30" s="2" t="s">
        <v>25</v>
      </c>
      <c r="H30" s="2" t="str">
        <f t="shared" si="0"/>
        <v>gpt|with_guideline|51</v>
      </c>
    </row>
    <row r="31" spans="1:8" x14ac:dyDescent="0.2">
      <c r="A31" s="2" t="s">
        <v>8</v>
      </c>
      <c r="B31" s="2" t="s">
        <v>27</v>
      </c>
      <c r="C31" s="2">
        <v>52</v>
      </c>
      <c r="D31" s="2" t="s">
        <v>11</v>
      </c>
      <c r="E31" s="2" t="s">
        <v>11</v>
      </c>
      <c r="F31" s="4" t="b">
        <f>TRUE()</f>
        <v>1</v>
      </c>
      <c r="G31" s="2" t="s">
        <v>26</v>
      </c>
      <c r="H31" s="2" t="str">
        <f t="shared" si="0"/>
        <v>gpt|with_guideline|52</v>
      </c>
    </row>
    <row r="32" spans="1:8" x14ac:dyDescent="0.2">
      <c r="A32" s="2" t="s">
        <v>28</v>
      </c>
      <c r="B32" s="2" t="s">
        <v>9</v>
      </c>
      <c r="C32" s="2">
        <v>1</v>
      </c>
      <c r="D32" s="2" t="s">
        <v>10</v>
      </c>
      <c r="E32" s="2" t="s">
        <v>29</v>
      </c>
      <c r="F32" s="3" t="b">
        <f>FALSE()</f>
        <v>0</v>
      </c>
      <c r="G32" s="2" t="s">
        <v>12</v>
      </c>
      <c r="H32" s="2" t="str">
        <f t="shared" si="0"/>
        <v>claude|no_guideline|1</v>
      </c>
    </row>
    <row r="33" spans="1:8" x14ac:dyDescent="0.2">
      <c r="A33" s="2" t="s">
        <v>28</v>
      </c>
      <c r="B33" s="2" t="s">
        <v>9</v>
      </c>
      <c r="C33" s="2">
        <v>2</v>
      </c>
      <c r="D33" s="2" t="s">
        <v>10</v>
      </c>
      <c r="E33" s="2" t="s">
        <v>29</v>
      </c>
      <c r="F33" s="3" t="b">
        <f>FALSE()</f>
        <v>0</v>
      </c>
      <c r="G33" s="2" t="s">
        <v>13</v>
      </c>
      <c r="H33" s="2" t="str">
        <f t="shared" si="0"/>
        <v>claude|no_guideline|2</v>
      </c>
    </row>
    <row r="34" spans="1:8" x14ac:dyDescent="0.2">
      <c r="A34" s="2" t="s">
        <v>28</v>
      </c>
      <c r="B34" s="2" t="s">
        <v>9</v>
      </c>
      <c r="C34" s="2">
        <v>3</v>
      </c>
      <c r="D34" s="2" t="s">
        <v>10</v>
      </c>
      <c r="E34" s="2" t="s">
        <v>29</v>
      </c>
      <c r="F34" s="3" t="b">
        <f>FALSE()</f>
        <v>0</v>
      </c>
      <c r="G34" s="2" t="s">
        <v>14</v>
      </c>
      <c r="H34" s="2" t="str">
        <f t="shared" ref="H34:H65" si="1">A34&amp;"|"&amp;B34&amp;"|"&amp;C34</f>
        <v>claude|no_guideline|3</v>
      </c>
    </row>
    <row r="35" spans="1:8" x14ac:dyDescent="0.2">
      <c r="A35" s="2" t="s">
        <v>28</v>
      </c>
      <c r="B35" s="2" t="s">
        <v>9</v>
      </c>
      <c r="C35" s="2">
        <v>4</v>
      </c>
      <c r="D35" s="2" t="s">
        <v>10</v>
      </c>
      <c r="E35" s="2" t="s">
        <v>29</v>
      </c>
      <c r="F35" s="3" t="b">
        <f>FALSE()</f>
        <v>0</v>
      </c>
      <c r="G35" s="2" t="s">
        <v>15</v>
      </c>
      <c r="H35" s="2" t="str">
        <f t="shared" si="1"/>
        <v>claude|no_guideline|4</v>
      </c>
    </row>
    <row r="36" spans="1:8" x14ac:dyDescent="0.2">
      <c r="A36" s="2" t="s">
        <v>28</v>
      </c>
      <c r="B36" s="2" t="s">
        <v>9</v>
      </c>
      <c r="C36" s="2">
        <v>11</v>
      </c>
      <c r="D36" s="2" t="s">
        <v>10</v>
      </c>
      <c r="E36" s="2" t="s">
        <v>29</v>
      </c>
      <c r="F36" s="3" t="b">
        <f>FALSE()</f>
        <v>0</v>
      </c>
      <c r="G36" s="2" t="s">
        <v>16</v>
      </c>
      <c r="H36" s="2" t="str">
        <f t="shared" si="1"/>
        <v>claude|no_guideline|11</v>
      </c>
    </row>
    <row r="37" spans="1:8" x14ac:dyDescent="0.2">
      <c r="A37" s="2" t="s">
        <v>28</v>
      </c>
      <c r="B37" s="2" t="s">
        <v>9</v>
      </c>
      <c r="C37" s="2">
        <v>12</v>
      </c>
      <c r="D37" s="2" t="s">
        <v>10</v>
      </c>
      <c r="E37" s="2" t="s">
        <v>29</v>
      </c>
      <c r="F37" s="3" t="b">
        <f>FALSE()</f>
        <v>0</v>
      </c>
      <c r="G37" s="2" t="s">
        <v>17</v>
      </c>
      <c r="H37" s="2" t="str">
        <f t="shared" si="1"/>
        <v>claude|no_guideline|12</v>
      </c>
    </row>
    <row r="38" spans="1:8" x14ac:dyDescent="0.2">
      <c r="A38" s="2" t="s">
        <v>28</v>
      </c>
      <c r="B38" s="2" t="s">
        <v>9</v>
      </c>
      <c r="C38" s="2">
        <v>13</v>
      </c>
      <c r="D38" s="2" t="s">
        <v>10</v>
      </c>
      <c r="E38" s="2" t="s">
        <v>29</v>
      </c>
      <c r="F38" s="3" t="b">
        <f>FALSE()</f>
        <v>0</v>
      </c>
      <c r="G38" s="2" t="s">
        <v>18</v>
      </c>
      <c r="H38" s="2" t="str">
        <f t="shared" si="1"/>
        <v>claude|no_guideline|13</v>
      </c>
    </row>
    <row r="39" spans="1:8" x14ac:dyDescent="0.2">
      <c r="A39" s="2" t="s">
        <v>28</v>
      </c>
      <c r="B39" s="2" t="s">
        <v>9</v>
      </c>
      <c r="C39" s="2">
        <v>21</v>
      </c>
      <c r="D39" s="2" t="s">
        <v>10</v>
      </c>
      <c r="E39" s="2" t="s">
        <v>29</v>
      </c>
      <c r="F39" s="3" t="b">
        <f>FALSE()</f>
        <v>0</v>
      </c>
      <c r="G39" s="2" t="s">
        <v>19</v>
      </c>
      <c r="H39" s="2" t="str">
        <f t="shared" si="1"/>
        <v>claude|no_guideline|21</v>
      </c>
    </row>
    <row r="40" spans="1:8" x14ac:dyDescent="0.2">
      <c r="A40" s="2" t="s">
        <v>28</v>
      </c>
      <c r="B40" s="2" t="s">
        <v>9</v>
      </c>
      <c r="C40" s="2">
        <v>22</v>
      </c>
      <c r="D40" s="2" t="s">
        <v>10</v>
      </c>
      <c r="E40" s="2" t="s">
        <v>29</v>
      </c>
      <c r="F40" s="3" t="b">
        <f>FALSE()</f>
        <v>0</v>
      </c>
      <c r="G40" s="2" t="s">
        <v>20</v>
      </c>
      <c r="H40" s="2" t="str">
        <f t="shared" si="1"/>
        <v>claude|no_guideline|22</v>
      </c>
    </row>
    <row r="41" spans="1:8" x14ac:dyDescent="0.2">
      <c r="A41" s="2" t="s">
        <v>28</v>
      </c>
      <c r="B41" s="2" t="s">
        <v>9</v>
      </c>
      <c r="C41" s="2">
        <v>31</v>
      </c>
      <c r="D41" s="2" t="s">
        <v>10</v>
      </c>
      <c r="E41" s="2" t="s">
        <v>29</v>
      </c>
      <c r="F41" s="3" t="b">
        <f>FALSE()</f>
        <v>0</v>
      </c>
      <c r="G41" s="2" t="s">
        <v>21</v>
      </c>
      <c r="H41" s="2" t="str">
        <f t="shared" si="1"/>
        <v>claude|no_guideline|31</v>
      </c>
    </row>
    <row r="42" spans="1:8" x14ac:dyDescent="0.2">
      <c r="A42" s="2" t="s">
        <v>28</v>
      </c>
      <c r="B42" s="2" t="s">
        <v>9</v>
      </c>
      <c r="C42" s="2">
        <v>32</v>
      </c>
      <c r="D42" s="2" t="s">
        <v>10</v>
      </c>
      <c r="E42" s="2" t="s">
        <v>29</v>
      </c>
      <c r="F42" s="3" t="b">
        <f>FALSE()</f>
        <v>0</v>
      </c>
      <c r="G42" s="2" t="s">
        <v>22</v>
      </c>
      <c r="H42" s="2" t="str">
        <f t="shared" si="1"/>
        <v>claude|no_guideline|32</v>
      </c>
    </row>
    <row r="43" spans="1:8" x14ac:dyDescent="0.2">
      <c r="A43" s="2" t="s">
        <v>28</v>
      </c>
      <c r="B43" s="2" t="s">
        <v>9</v>
      </c>
      <c r="C43" s="2">
        <v>41</v>
      </c>
      <c r="D43" s="2" t="s">
        <v>11</v>
      </c>
      <c r="E43" s="2" t="s">
        <v>29</v>
      </c>
      <c r="F43" s="3" t="b">
        <f>FALSE()</f>
        <v>0</v>
      </c>
      <c r="G43" s="2" t="s">
        <v>23</v>
      </c>
      <c r="H43" s="2" t="str">
        <f t="shared" si="1"/>
        <v>claude|no_guideline|41</v>
      </c>
    </row>
    <row r="44" spans="1:8" x14ac:dyDescent="0.2">
      <c r="A44" s="2" t="s">
        <v>28</v>
      </c>
      <c r="B44" s="2" t="s">
        <v>9</v>
      </c>
      <c r="C44" s="2">
        <v>42</v>
      </c>
      <c r="D44" s="2" t="s">
        <v>11</v>
      </c>
      <c r="E44" s="2" t="s">
        <v>29</v>
      </c>
      <c r="F44" s="3" t="b">
        <f>FALSE()</f>
        <v>0</v>
      </c>
      <c r="G44" s="2" t="s">
        <v>24</v>
      </c>
      <c r="H44" s="2" t="str">
        <f t="shared" si="1"/>
        <v>claude|no_guideline|42</v>
      </c>
    </row>
    <row r="45" spans="1:8" x14ac:dyDescent="0.2">
      <c r="A45" s="2" t="s">
        <v>28</v>
      </c>
      <c r="B45" s="2" t="s">
        <v>9</v>
      </c>
      <c r="C45" s="2">
        <v>51</v>
      </c>
      <c r="D45" s="2" t="s">
        <v>11</v>
      </c>
      <c r="E45" s="2" t="s">
        <v>29</v>
      </c>
      <c r="F45" s="3" t="b">
        <f>FALSE()</f>
        <v>0</v>
      </c>
      <c r="G45" s="2" t="s">
        <v>25</v>
      </c>
      <c r="H45" s="2" t="str">
        <f t="shared" si="1"/>
        <v>claude|no_guideline|51</v>
      </c>
    </row>
    <row r="46" spans="1:8" x14ac:dyDescent="0.2">
      <c r="A46" s="2" t="s">
        <v>28</v>
      </c>
      <c r="B46" s="2" t="s">
        <v>9</v>
      </c>
      <c r="C46" s="2">
        <v>52</v>
      </c>
      <c r="D46" s="2" t="s">
        <v>11</v>
      </c>
      <c r="E46" s="2" t="s">
        <v>29</v>
      </c>
      <c r="F46" s="3" t="b">
        <f>FALSE()</f>
        <v>0</v>
      </c>
      <c r="G46" s="2" t="s">
        <v>26</v>
      </c>
      <c r="H46" s="2" t="str">
        <f t="shared" si="1"/>
        <v>claude|no_guideline|52</v>
      </c>
    </row>
    <row r="47" spans="1:8" x14ac:dyDescent="0.2">
      <c r="A47" s="2" t="s">
        <v>28</v>
      </c>
      <c r="B47" s="2" t="s">
        <v>27</v>
      </c>
      <c r="C47" s="2">
        <v>1</v>
      </c>
      <c r="D47" s="2" t="s">
        <v>10</v>
      </c>
      <c r="E47" s="2" t="s">
        <v>10</v>
      </c>
      <c r="F47" s="4" t="b">
        <f>TRUE()</f>
        <v>1</v>
      </c>
      <c r="G47" s="2" t="s">
        <v>12</v>
      </c>
      <c r="H47" s="2" t="str">
        <f t="shared" si="1"/>
        <v>claude|with_guideline|1</v>
      </c>
    </row>
    <row r="48" spans="1:8" x14ac:dyDescent="0.2">
      <c r="A48" s="2" t="s">
        <v>28</v>
      </c>
      <c r="B48" s="2" t="s">
        <v>27</v>
      </c>
      <c r="C48" s="2">
        <v>2</v>
      </c>
      <c r="D48" s="2" t="s">
        <v>10</v>
      </c>
      <c r="E48" s="2" t="s">
        <v>10</v>
      </c>
      <c r="F48" s="4" t="b">
        <f>TRUE()</f>
        <v>1</v>
      </c>
      <c r="G48" s="2" t="s">
        <v>13</v>
      </c>
      <c r="H48" s="2" t="str">
        <f t="shared" si="1"/>
        <v>claude|with_guideline|2</v>
      </c>
    </row>
    <row r="49" spans="1:8" x14ac:dyDescent="0.2">
      <c r="A49" s="2" t="s">
        <v>28</v>
      </c>
      <c r="B49" s="2" t="s">
        <v>27</v>
      </c>
      <c r="C49" s="2">
        <v>3</v>
      </c>
      <c r="D49" s="2" t="s">
        <v>10</v>
      </c>
      <c r="E49" s="2" t="s">
        <v>10</v>
      </c>
      <c r="F49" s="4" t="b">
        <f>TRUE()</f>
        <v>1</v>
      </c>
      <c r="G49" s="2" t="s">
        <v>14</v>
      </c>
      <c r="H49" s="2" t="str">
        <f t="shared" si="1"/>
        <v>claude|with_guideline|3</v>
      </c>
    </row>
    <row r="50" spans="1:8" x14ac:dyDescent="0.2">
      <c r="A50" s="2" t="s">
        <v>28</v>
      </c>
      <c r="B50" s="2" t="s">
        <v>27</v>
      </c>
      <c r="C50" s="2">
        <v>4</v>
      </c>
      <c r="D50" s="2" t="s">
        <v>10</v>
      </c>
      <c r="E50" s="2" t="s">
        <v>29</v>
      </c>
      <c r="F50" s="3" t="b">
        <f>FALSE()</f>
        <v>0</v>
      </c>
      <c r="G50" s="2" t="s">
        <v>15</v>
      </c>
      <c r="H50" s="2" t="str">
        <f t="shared" si="1"/>
        <v>claude|with_guideline|4</v>
      </c>
    </row>
    <row r="51" spans="1:8" x14ac:dyDescent="0.2">
      <c r="A51" s="2" t="s">
        <v>28</v>
      </c>
      <c r="B51" s="2" t="s">
        <v>27</v>
      </c>
      <c r="C51" s="2">
        <v>11</v>
      </c>
      <c r="D51" s="2" t="s">
        <v>10</v>
      </c>
      <c r="E51" s="2" t="s">
        <v>29</v>
      </c>
      <c r="F51" s="3" t="b">
        <f>FALSE()</f>
        <v>0</v>
      </c>
      <c r="G51" s="2" t="s">
        <v>16</v>
      </c>
      <c r="H51" s="2" t="str">
        <f t="shared" si="1"/>
        <v>claude|with_guideline|11</v>
      </c>
    </row>
    <row r="52" spans="1:8" x14ac:dyDescent="0.2">
      <c r="A52" s="2" t="s">
        <v>28</v>
      </c>
      <c r="B52" s="2" t="s">
        <v>27</v>
      </c>
      <c r="C52" s="2">
        <v>12</v>
      </c>
      <c r="D52" s="2" t="s">
        <v>10</v>
      </c>
      <c r="E52" s="2" t="s">
        <v>29</v>
      </c>
      <c r="F52" s="3" t="b">
        <f>FALSE()</f>
        <v>0</v>
      </c>
      <c r="G52" s="2" t="s">
        <v>17</v>
      </c>
      <c r="H52" s="2" t="str">
        <f t="shared" si="1"/>
        <v>claude|with_guideline|12</v>
      </c>
    </row>
    <row r="53" spans="1:8" x14ac:dyDescent="0.2">
      <c r="A53" s="2" t="s">
        <v>28</v>
      </c>
      <c r="B53" s="2" t="s">
        <v>27</v>
      </c>
      <c r="C53" s="2">
        <v>13</v>
      </c>
      <c r="D53" s="2" t="s">
        <v>10</v>
      </c>
      <c r="E53" s="2" t="s">
        <v>29</v>
      </c>
      <c r="F53" s="3" t="b">
        <f>FALSE()</f>
        <v>0</v>
      </c>
      <c r="G53" s="2" t="s">
        <v>18</v>
      </c>
      <c r="H53" s="2" t="str">
        <f t="shared" si="1"/>
        <v>claude|with_guideline|13</v>
      </c>
    </row>
    <row r="54" spans="1:8" x14ac:dyDescent="0.2">
      <c r="A54" s="2" t="s">
        <v>28</v>
      </c>
      <c r="B54" s="2" t="s">
        <v>27</v>
      </c>
      <c r="C54" s="2">
        <v>21</v>
      </c>
      <c r="D54" s="2" t="s">
        <v>10</v>
      </c>
      <c r="E54" s="2" t="s">
        <v>29</v>
      </c>
      <c r="F54" s="3" t="b">
        <f>FALSE()</f>
        <v>0</v>
      </c>
      <c r="G54" s="2" t="s">
        <v>19</v>
      </c>
      <c r="H54" s="2" t="str">
        <f t="shared" si="1"/>
        <v>claude|with_guideline|21</v>
      </c>
    </row>
    <row r="55" spans="1:8" x14ac:dyDescent="0.2">
      <c r="A55" s="2" t="s">
        <v>28</v>
      </c>
      <c r="B55" s="2" t="s">
        <v>27</v>
      </c>
      <c r="C55" s="2">
        <v>22</v>
      </c>
      <c r="D55" s="2" t="s">
        <v>10</v>
      </c>
      <c r="E55" s="2" t="s">
        <v>29</v>
      </c>
      <c r="F55" s="3" t="b">
        <f>FALSE()</f>
        <v>0</v>
      </c>
      <c r="G55" s="2" t="s">
        <v>20</v>
      </c>
      <c r="H55" s="2" t="str">
        <f t="shared" si="1"/>
        <v>claude|with_guideline|22</v>
      </c>
    </row>
    <row r="56" spans="1:8" x14ac:dyDescent="0.2">
      <c r="A56" s="2" t="s">
        <v>28</v>
      </c>
      <c r="B56" s="2" t="s">
        <v>27</v>
      </c>
      <c r="C56" s="2">
        <v>31</v>
      </c>
      <c r="D56" s="2" t="s">
        <v>10</v>
      </c>
      <c r="E56" s="2" t="s">
        <v>29</v>
      </c>
      <c r="F56" s="3" t="b">
        <f>FALSE()</f>
        <v>0</v>
      </c>
      <c r="G56" s="2" t="s">
        <v>21</v>
      </c>
      <c r="H56" s="2" t="str">
        <f t="shared" si="1"/>
        <v>claude|with_guideline|31</v>
      </c>
    </row>
    <row r="57" spans="1:8" x14ac:dyDescent="0.2">
      <c r="A57" s="2" t="s">
        <v>28</v>
      </c>
      <c r="B57" s="2" t="s">
        <v>27</v>
      </c>
      <c r="C57" s="2">
        <v>32</v>
      </c>
      <c r="D57" s="2" t="s">
        <v>10</v>
      </c>
      <c r="E57" s="2" t="s">
        <v>29</v>
      </c>
      <c r="F57" s="3" t="b">
        <f>FALSE()</f>
        <v>0</v>
      </c>
      <c r="G57" s="2" t="s">
        <v>22</v>
      </c>
      <c r="H57" s="2" t="str">
        <f t="shared" si="1"/>
        <v>claude|with_guideline|32</v>
      </c>
    </row>
    <row r="58" spans="1:8" x14ac:dyDescent="0.2">
      <c r="A58" s="2" t="s">
        <v>28</v>
      </c>
      <c r="B58" s="2" t="s">
        <v>27</v>
      </c>
      <c r="C58" s="2">
        <v>41</v>
      </c>
      <c r="D58" s="2" t="s">
        <v>11</v>
      </c>
      <c r="E58" s="2" t="s">
        <v>29</v>
      </c>
      <c r="F58" s="3" t="b">
        <f>FALSE()</f>
        <v>0</v>
      </c>
      <c r="G58" s="2" t="s">
        <v>23</v>
      </c>
      <c r="H58" s="2" t="str">
        <f t="shared" si="1"/>
        <v>claude|with_guideline|41</v>
      </c>
    </row>
    <row r="59" spans="1:8" x14ac:dyDescent="0.2">
      <c r="A59" s="2" t="s">
        <v>28</v>
      </c>
      <c r="B59" s="2" t="s">
        <v>27</v>
      </c>
      <c r="C59" s="2">
        <v>42</v>
      </c>
      <c r="D59" s="2" t="s">
        <v>11</v>
      </c>
      <c r="E59" s="2" t="s">
        <v>29</v>
      </c>
      <c r="F59" s="3" t="b">
        <f>FALSE()</f>
        <v>0</v>
      </c>
      <c r="G59" s="2" t="s">
        <v>24</v>
      </c>
      <c r="H59" s="2" t="str">
        <f t="shared" si="1"/>
        <v>claude|with_guideline|42</v>
      </c>
    </row>
    <row r="60" spans="1:8" x14ac:dyDescent="0.2">
      <c r="A60" s="2" t="s">
        <v>28</v>
      </c>
      <c r="B60" s="2" t="s">
        <v>27</v>
      </c>
      <c r="C60" s="2">
        <v>51</v>
      </c>
      <c r="D60" s="2" t="s">
        <v>11</v>
      </c>
      <c r="E60" s="2" t="s">
        <v>29</v>
      </c>
      <c r="F60" s="3" t="b">
        <f>FALSE()</f>
        <v>0</v>
      </c>
      <c r="G60" s="2" t="s">
        <v>25</v>
      </c>
      <c r="H60" s="2" t="str">
        <f t="shared" si="1"/>
        <v>claude|with_guideline|51</v>
      </c>
    </row>
    <row r="61" spans="1:8" x14ac:dyDescent="0.2">
      <c r="A61" s="2" t="s">
        <v>28</v>
      </c>
      <c r="B61" s="2" t="s">
        <v>27</v>
      </c>
      <c r="C61" s="2">
        <v>52</v>
      </c>
      <c r="D61" s="2" t="s">
        <v>11</v>
      </c>
      <c r="E61" s="2" t="s">
        <v>29</v>
      </c>
      <c r="F61" s="3" t="b">
        <f>FALSE()</f>
        <v>0</v>
      </c>
      <c r="G61" s="2" t="s">
        <v>26</v>
      </c>
      <c r="H61" s="2" t="str">
        <f t="shared" si="1"/>
        <v>claude|with_guideline|52</v>
      </c>
    </row>
    <row r="62" spans="1:8" x14ac:dyDescent="0.2">
      <c r="A62" s="2" t="s">
        <v>30</v>
      </c>
      <c r="B62" s="2" t="s">
        <v>9</v>
      </c>
      <c r="C62" s="2">
        <v>1</v>
      </c>
      <c r="D62" s="2" t="s">
        <v>10</v>
      </c>
      <c r="E62" s="2" t="s">
        <v>11</v>
      </c>
      <c r="F62" s="3" t="b">
        <f>FALSE()</f>
        <v>0</v>
      </c>
      <c r="G62" s="2" t="s">
        <v>12</v>
      </c>
      <c r="H62" s="2" t="str">
        <f t="shared" si="1"/>
        <v>gemini|no_guideline|1</v>
      </c>
    </row>
    <row r="63" spans="1:8" x14ac:dyDescent="0.2">
      <c r="A63" s="2" t="s">
        <v>30</v>
      </c>
      <c r="B63" s="2" t="s">
        <v>9</v>
      </c>
      <c r="C63" s="2">
        <v>2</v>
      </c>
      <c r="D63" s="2" t="s">
        <v>10</v>
      </c>
      <c r="E63" s="2" t="s">
        <v>11</v>
      </c>
      <c r="F63" s="3" t="b">
        <f>FALSE()</f>
        <v>0</v>
      </c>
      <c r="G63" s="2" t="s">
        <v>13</v>
      </c>
      <c r="H63" s="2" t="str">
        <f t="shared" si="1"/>
        <v>gemini|no_guideline|2</v>
      </c>
    </row>
    <row r="64" spans="1:8" x14ac:dyDescent="0.2">
      <c r="A64" s="2" t="s">
        <v>30</v>
      </c>
      <c r="B64" s="2" t="s">
        <v>9</v>
      </c>
      <c r="C64" s="2">
        <v>3</v>
      </c>
      <c r="D64" s="2" t="s">
        <v>10</v>
      </c>
      <c r="E64" s="2" t="s">
        <v>11</v>
      </c>
      <c r="F64" s="3" t="b">
        <f>FALSE()</f>
        <v>0</v>
      </c>
      <c r="G64" s="2" t="s">
        <v>14</v>
      </c>
      <c r="H64" s="2" t="str">
        <f t="shared" si="1"/>
        <v>gemini|no_guideline|3</v>
      </c>
    </row>
    <row r="65" spans="1:8" x14ac:dyDescent="0.2">
      <c r="A65" s="2" t="s">
        <v>30</v>
      </c>
      <c r="B65" s="2" t="s">
        <v>9</v>
      </c>
      <c r="C65" s="2">
        <v>4</v>
      </c>
      <c r="D65" s="2" t="s">
        <v>10</v>
      </c>
      <c r="E65" s="2" t="s">
        <v>11</v>
      </c>
      <c r="F65" s="3" t="b">
        <f>FALSE()</f>
        <v>0</v>
      </c>
      <c r="G65" s="2" t="s">
        <v>15</v>
      </c>
      <c r="H65" s="2" t="str">
        <f t="shared" si="1"/>
        <v>gemini|no_guideline|4</v>
      </c>
    </row>
    <row r="66" spans="1:8" x14ac:dyDescent="0.2">
      <c r="A66" s="2" t="s">
        <v>30</v>
      </c>
      <c r="B66" s="2" t="s">
        <v>9</v>
      </c>
      <c r="C66" s="2">
        <v>11</v>
      </c>
      <c r="D66" s="2" t="s">
        <v>10</v>
      </c>
      <c r="E66" s="2" t="s">
        <v>11</v>
      </c>
      <c r="F66" s="3" t="b">
        <f>FALSE()</f>
        <v>0</v>
      </c>
      <c r="G66" s="2" t="s">
        <v>16</v>
      </c>
      <c r="H66" s="2" t="str">
        <f t="shared" ref="H66:H97" si="2">A66&amp;"|"&amp;B66&amp;"|"&amp;C66</f>
        <v>gemini|no_guideline|11</v>
      </c>
    </row>
    <row r="67" spans="1:8" x14ac:dyDescent="0.2">
      <c r="A67" s="2" t="s">
        <v>30</v>
      </c>
      <c r="B67" s="2" t="s">
        <v>9</v>
      </c>
      <c r="C67" s="2">
        <v>12</v>
      </c>
      <c r="D67" s="2" t="s">
        <v>10</v>
      </c>
      <c r="E67" s="2" t="s">
        <v>11</v>
      </c>
      <c r="F67" s="3" t="b">
        <f>FALSE()</f>
        <v>0</v>
      </c>
      <c r="G67" s="2" t="s">
        <v>17</v>
      </c>
      <c r="H67" s="2" t="str">
        <f t="shared" si="2"/>
        <v>gemini|no_guideline|12</v>
      </c>
    </row>
    <row r="68" spans="1:8" x14ac:dyDescent="0.2">
      <c r="A68" s="2" t="s">
        <v>30</v>
      </c>
      <c r="B68" s="2" t="s">
        <v>9</v>
      </c>
      <c r="C68" s="2">
        <v>13</v>
      </c>
      <c r="D68" s="2" t="s">
        <v>10</v>
      </c>
      <c r="E68" s="2" t="s">
        <v>11</v>
      </c>
      <c r="F68" s="3" t="b">
        <f>FALSE()</f>
        <v>0</v>
      </c>
      <c r="G68" s="2" t="s">
        <v>18</v>
      </c>
      <c r="H68" s="2" t="str">
        <f t="shared" si="2"/>
        <v>gemini|no_guideline|13</v>
      </c>
    </row>
    <row r="69" spans="1:8" x14ac:dyDescent="0.2">
      <c r="A69" s="2" t="s">
        <v>30</v>
      </c>
      <c r="B69" s="2" t="s">
        <v>9</v>
      </c>
      <c r="C69" s="2">
        <v>21</v>
      </c>
      <c r="D69" s="2" t="s">
        <v>10</v>
      </c>
      <c r="E69" s="2" t="s">
        <v>11</v>
      </c>
      <c r="F69" s="3" t="b">
        <f>FALSE()</f>
        <v>0</v>
      </c>
      <c r="G69" s="2" t="s">
        <v>19</v>
      </c>
      <c r="H69" s="2" t="str">
        <f t="shared" si="2"/>
        <v>gemini|no_guideline|21</v>
      </c>
    </row>
    <row r="70" spans="1:8" x14ac:dyDescent="0.2">
      <c r="A70" s="2" t="s">
        <v>30</v>
      </c>
      <c r="B70" s="2" t="s">
        <v>9</v>
      </c>
      <c r="C70" s="2">
        <v>22</v>
      </c>
      <c r="D70" s="2" t="s">
        <v>10</v>
      </c>
      <c r="E70" s="2" t="s">
        <v>11</v>
      </c>
      <c r="F70" s="3" t="b">
        <f>FALSE()</f>
        <v>0</v>
      </c>
      <c r="G70" s="2" t="s">
        <v>20</v>
      </c>
      <c r="H70" s="2" t="str">
        <f t="shared" si="2"/>
        <v>gemini|no_guideline|22</v>
      </c>
    </row>
    <row r="71" spans="1:8" x14ac:dyDescent="0.2">
      <c r="A71" s="2" t="s">
        <v>30</v>
      </c>
      <c r="B71" s="2" t="s">
        <v>9</v>
      </c>
      <c r="C71" s="2">
        <v>31</v>
      </c>
      <c r="D71" s="2" t="s">
        <v>10</v>
      </c>
      <c r="E71" s="2" t="s">
        <v>11</v>
      </c>
      <c r="F71" s="3" t="b">
        <f>FALSE()</f>
        <v>0</v>
      </c>
      <c r="G71" s="2" t="s">
        <v>21</v>
      </c>
      <c r="H71" s="2" t="str">
        <f t="shared" si="2"/>
        <v>gemini|no_guideline|31</v>
      </c>
    </row>
    <row r="72" spans="1:8" x14ac:dyDescent="0.2">
      <c r="A72" s="2" t="s">
        <v>30</v>
      </c>
      <c r="B72" s="2" t="s">
        <v>9</v>
      </c>
      <c r="C72" s="2">
        <v>32</v>
      </c>
      <c r="D72" s="2" t="s">
        <v>10</v>
      </c>
      <c r="E72" s="2" t="s">
        <v>10</v>
      </c>
      <c r="F72" s="4" t="b">
        <f>TRUE()</f>
        <v>1</v>
      </c>
      <c r="G72" s="2" t="s">
        <v>22</v>
      </c>
      <c r="H72" s="2" t="str">
        <f t="shared" si="2"/>
        <v>gemini|no_guideline|32</v>
      </c>
    </row>
    <row r="73" spans="1:8" x14ac:dyDescent="0.2">
      <c r="A73" s="2" t="s">
        <v>30</v>
      </c>
      <c r="B73" s="2" t="s">
        <v>9</v>
      </c>
      <c r="C73" s="2">
        <v>41</v>
      </c>
      <c r="D73" s="2" t="s">
        <v>11</v>
      </c>
      <c r="E73" s="2" t="s">
        <v>11</v>
      </c>
      <c r="F73" s="4" t="b">
        <f>TRUE()</f>
        <v>1</v>
      </c>
      <c r="G73" s="2" t="s">
        <v>23</v>
      </c>
      <c r="H73" s="2" t="str">
        <f t="shared" si="2"/>
        <v>gemini|no_guideline|41</v>
      </c>
    </row>
    <row r="74" spans="1:8" x14ac:dyDescent="0.2">
      <c r="A74" s="2" t="s">
        <v>30</v>
      </c>
      <c r="B74" s="2" t="s">
        <v>9</v>
      </c>
      <c r="C74" s="2">
        <v>42</v>
      </c>
      <c r="D74" s="2" t="s">
        <v>11</v>
      </c>
      <c r="E74" s="2" t="s">
        <v>11</v>
      </c>
      <c r="F74" s="4" t="b">
        <f>TRUE()</f>
        <v>1</v>
      </c>
      <c r="G74" s="2" t="s">
        <v>24</v>
      </c>
      <c r="H74" s="2" t="str">
        <f t="shared" si="2"/>
        <v>gemini|no_guideline|42</v>
      </c>
    </row>
    <row r="75" spans="1:8" x14ac:dyDescent="0.2">
      <c r="A75" s="2" t="s">
        <v>30</v>
      </c>
      <c r="B75" s="2" t="s">
        <v>9</v>
      </c>
      <c r="C75" s="2">
        <v>51</v>
      </c>
      <c r="D75" s="2" t="s">
        <v>11</v>
      </c>
      <c r="E75" s="2" t="s">
        <v>11</v>
      </c>
      <c r="F75" s="4" t="b">
        <f>TRUE()</f>
        <v>1</v>
      </c>
      <c r="G75" s="2" t="s">
        <v>25</v>
      </c>
      <c r="H75" s="2" t="str">
        <f t="shared" si="2"/>
        <v>gemini|no_guideline|51</v>
      </c>
    </row>
    <row r="76" spans="1:8" x14ac:dyDescent="0.2">
      <c r="A76" s="2" t="s">
        <v>30</v>
      </c>
      <c r="B76" s="2" t="s">
        <v>9</v>
      </c>
      <c r="C76" s="2">
        <v>52</v>
      </c>
      <c r="D76" s="2" t="s">
        <v>11</v>
      </c>
      <c r="E76" s="2" t="s">
        <v>11</v>
      </c>
      <c r="F76" s="4" t="b">
        <f>TRUE()</f>
        <v>1</v>
      </c>
      <c r="G76" s="2" t="s">
        <v>26</v>
      </c>
      <c r="H76" s="2" t="str">
        <f t="shared" si="2"/>
        <v>gemini|no_guideline|52</v>
      </c>
    </row>
    <row r="77" spans="1:8" x14ac:dyDescent="0.2">
      <c r="A77" s="2" t="s">
        <v>30</v>
      </c>
      <c r="B77" s="2" t="s">
        <v>27</v>
      </c>
      <c r="C77" s="2">
        <v>1</v>
      </c>
      <c r="D77" s="2" t="s">
        <v>10</v>
      </c>
      <c r="E77" s="2" t="s">
        <v>10</v>
      </c>
      <c r="F77" s="4" t="b">
        <f>TRUE()</f>
        <v>1</v>
      </c>
      <c r="G77" s="2" t="s">
        <v>12</v>
      </c>
      <c r="H77" s="2" t="str">
        <f t="shared" si="2"/>
        <v>gemini|with_guideline|1</v>
      </c>
    </row>
    <row r="78" spans="1:8" x14ac:dyDescent="0.2">
      <c r="A78" s="2" t="s">
        <v>30</v>
      </c>
      <c r="B78" s="2" t="s">
        <v>27</v>
      </c>
      <c r="C78" s="2">
        <v>2</v>
      </c>
      <c r="D78" s="2" t="s">
        <v>10</v>
      </c>
      <c r="E78" s="2" t="s">
        <v>10</v>
      </c>
      <c r="F78" s="4" t="b">
        <f>TRUE()</f>
        <v>1</v>
      </c>
      <c r="G78" s="2" t="s">
        <v>13</v>
      </c>
      <c r="H78" s="2" t="str">
        <f t="shared" si="2"/>
        <v>gemini|with_guideline|2</v>
      </c>
    </row>
    <row r="79" spans="1:8" x14ac:dyDescent="0.2">
      <c r="A79" s="2" t="s">
        <v>30</v>
      </c>
      <c r="B79" s="2" t="s">
        <v>27</v>
      </c>
      <c r="C79" s="2">
        <v>3</v>
      </c>
      <c r="D79" s="2" t="s">
        <v>10</v>
      </c>
      <c r="E79" s="2" t="s">
        <v>10</v>
      </c>
      <c r="F79" s="4" t="b">
        <f>TRUE()</f>
        <v>1</v>
      </c>
      <c r="G79" s="2" t="s">
        <v>14</v>
      </c>
      <c r="H79" s="2" t="str">
        <f t="shared" si="2"/>
        <v>gemini|with_guideline|3</v>
      </c>
    </row>
    <row r="80" spans="1:8" x14ac:dyDescent="0.2">
      <c r="A80" s="2" t="s">
        <v>30</v>
      </c>
      <c r="B80" s="2" t="s">
        <v>27</v>
      </c>
      <c r="C80" s="2">
        <v>4</v>
      </c>
      <c r="D80" s="2" t="s">
        <v>10</v>
      </c>
      <c r="E80" s="2" t="s">
        <v>10</v>
      </c>
      <c r="F80" s="4" t="b">
        <f>TRUE()</f>
        <v>1</v>
      </c>
      <c r="G80" s="2" t="s">
        <v>15</v>
      </c>
      <c r="H80" s="2" t="str">
        <f t="shared" si="2"/>
        <v>gemini|with_guideline|4</v>
      </c>
    </row>
    <row r="81" spans="1:8" x14ac:dyDescent="0.2">
      <c r="A81" s="2" t="s">
        <v>30</v>
      </c>
      <c r="B81" s="2" t="s">
        <v>27</v>
      </c>
      <c r="C81" s="2">
        <v>11</v>
      </c>
      <c r="D81" s="2" t="s">
        <v>10</v>
      </c>
      <c r="E81" s="2" t="s">
        <v>10</v>
      </c>
      <c r="F81" s="4" t="b">
        <f>TRUE()</f>
        <v>1</v>
      </c>
      <c r="G81" s="2" t="s">
        <v>16</v>
      </c>
      <c r="H81" s="2" t="str">
        <f t="shared" si="2"/>
        <v>gemini|with_guideline|11</v>
      </c>
    </row>
    <row r="82" spans="1:8" x14ac:dyDescent="0.2">
      <c r="A82" s="2" t="s">
        <v>30</v>
      </c>
      <c r="B82" s="2" t="s">
        <v>27</v>
      </c>
      <c r="C82" s="2">
        <v>12</v>
      </c>
      <c r="D82" s="2" t="s">
        <v>10</v>
      </c>
      <c r="E82" s="2" t="s">
        <v>11</v>
      </c>
      <c r="F82" s="3" t="b">
        <f>FALSE()</f>
        <v>0</v>
      </c>
      <c r="G82" s="2" t="s">
        <v>17</v>
      </c>
      <c r="H82" s="2" t="str">
        <f t="shared" si="2"/>
        <v>gemini|with_guideline|12</v>
      </c>
    </row>
    <row r="83" spans="1:8" x14ac:dyDescent="0.2">
      <c r="A83" s="2" t="s">
        <v>30</v>
      </c>
      <c r="B83" s="2" t="s">
        <v>27</v>
      </c>
      <c r="C83" s="2">
        <v>13</v>
      </c>
      <c r="D83" s="2" t="s">
        <v>10</v>
      </c>
      <c r="E83" s="2" t="s">
        <v>10</v>
      </c>
      <c r="F83" s="4" t="b">
        <f>TRUE()</f>
        <v>1</v>
      </c>
      <c r="G83" s="2" t="s">
        <v>18</v>
      </c>
      <c r="H83" s="2" t="str">
        <f t="shared" si="2"/>
        <v>gemini|with_guideline|13</v>
      </c>
    </row>
    <row r="84" spans="1:8" x14ac:dyDescent="0.2">
      <c r="A84" s="2" t="s">
        <v>30</v>
      </c>
      <c r="B84" s="2" t="s">
        <v>27</v>
      </c>
      <c r="C84" s="2">
        <v>21</v>
      </c>
      <c r="D84" s="2" t="s">
        <v>10</v>
      </c>
      <c r="E84" s="2" t="s">
        <v>10</v>
      </c>
      <c r="F84" s="4" t="b">
        <f>TRUE()</f>
        <v>1</v>
      </c>
      <c r="G84" s="2" t="s">
        <v>19</v>
      </c>
      <c r="H84" s="2" t="str">
        <f t="shared" si="2"/>
        <v>gemini|with_guideline|21</v>
      </c>
    </row>
    <row r="85" spans="1:8" x14ac:dyDescent="0.2">
      <c r="A85" s="2" t="s">
        <v>30</v>
      </c>
      <c r="B85" s="2" t="s">
        <v>27</v>
      </c>
      <c r="C85" s="2">
        <v>22</v>
      </c>
      <c r="D85" s="2" t="s">
        <v>10</v>
      </c>
      <c r="E85" s="2" t="s">
        <v>10</v>
      </c>
      <c r="F85" s="4" t="b">
        <f>TRUE()</f>
        <v>1</v>
      </c>
      <c r="G85" s="2" t="s">
        <v>20</v>
      </c>
      <c r="H85" s="2" t="str">
        <f t="shared" si="2"/>
        <v>gemini|with_guideline|22</v>
      </c>
    </row>
    <row r="86" spans="1:8" x14ac:dyDescent="0.2">
      <c r="A86" s="2" t="s">
        <v>30</v>
      </c>
      <c r="B86" s="2" t="s">
        <v>27</v>
      </c>
      <c r="C86" s="2">
        <v>31</v>
      </c>
      <c r="D86" s="2" t="s">
        <v>10</v>
      </c>
      <c r="E86" s="2" t="s">
        <v>10</v>
      </c>
      <c r="F86" s="4" t="b">
        <f>TRUE()</f>
        <v>1</v>
      </c>
      <c r="G86" s="2" t="s">
        <v>21</v>
      </c>
      <c r="H86" s="2" t="str">
        <f t="shared" si="2"/>
        <v>gemini|with_guideline|31</v>
      </c>
    </row>
    <row r="87" spans="1:8" x14ac:dyDescent="0.2">
      <c r="A87" s="2" t="s">
        <v>30</v>
      </c>
      <c r="B87" s="2" t="s">
        <v>27</v>
      </c>
      <c r="C87" s="2">
        <v>32</v>
      </c>
      <c r="D87" s="2" t="s">
        <v>10</v>
      </c>
      <c r="E87" s="2" t="s">
        <v>10</v>
      </c>
      <c r="F87" s="4" t="b">
        <f>TRUE()</f>
        <v>1</v>
      </c>
      <c r="G87" s="2" t="s">
        <v>22</v>
      </c>
      <c r="H87" s="2" t="str">
        <f t="shared" si="2"/>
        <v>gemini|with_guideline|32</v>
      </c>
    </row>
    <row r="88" spans="1:8" x14ac:dyDescent="0.2">
      <c r="A88" s="2" t="s">
        <v>30</v>
      </c>
      <c r="B88" s="2" t="s">
        <v>27</v>
      </c>
      <c r="C88" s="2">
        <v>41</v>
      </c>
      <c r="D88" s="2" t="s">
        <v>11</v>
      </c>
      <c r="E88" s="2" t="s">
        <v>11</v>
      </c>
      <c r="F88" s="4" t="b">
        <f>TRUE()</f>
        <v>1</v>
      </c>
      <c r="G88" s="2" t="s">
        <v>23</v>
      </c>
      <c r="H88" s="2" t="str">
        <f t="shared" si="2"/>
        <v>gemini|with_guideline|41</v>
      </c>
    </row>
    <row r="89" spans="1:8" x14ac:dyDescent="0.2">
      <c r="A89" s="2" t="s">
        <v>30</v>
      </c>
      <c r="B89" s="2" t="s">
        <v>27</v>
      </c>
      <c r="C89" s="2">
        <v>42</v>
      </c>
      <c r="D89" s="2" t="s">
        <v>11</v>
      </c>
      <c r="E89" s="2" t="s">
        <v>11</v>
      </c>
      <c r="F89" s="4" t="b">
        <f>TRUE()</f>
        <v>1</v>
      </c>
      <c r="G89" s="2" t="s">
        <v>24</v>
      </c>
      <c r="H89" s="2" t="str">
        <f t="shared" si="2"/>
        <v>gemini|with_guideline|42</v>
      </c>
    </row>
    <row r="90" spans="1:8" x14ac:dyDescent="0.2">
      <c r="A90" s="2" t="s">
        <v>30</v>
      </c>
      <c r="B90" s="2" t="s">
        <v>27</v>
      </c>
      <c r="C90" s="2">
        <v>51</v>
      </c>
      <c r="D90" s="2" t="s">
        <v>11</v>
      </c>
      <c r="E90" s="2" t="s">
        <v>11</v>
      </c>
      <c r="F90" s="4" t="b">
        <f>TRUE()</f>
        <v>1</v>
      </c>
      <c r="G90" s="2" t="s">
        <v>25</v>
      </c>
      <c r="H90" s="2" t="str">
        <f t="shared" si="2"/>
        <v>gemini|with_guideline|51</v>
      </c>
    </row>
    <row r="91" spans="1:8" x14ac:dyDescent="0.2">
      <c r="A91" s="2" t="s">
        <v>30</v>
      </c>
      <c r="B91" s="2" t="s">
        <v>27</v>
      </c>
      <c r="C91" s="2">
        <v>52</v>
      </c>
      <c r="D91" s="2" t="s">
        <v>11</v>
      </c>
      <c r="E91" s="2" t="s">
        <v>11</v>
      </c>
      <c r="F91" s="4" t="b">
        <f>TRUE()</f>
        <v>1</v>
      </c>
      <c r="G91" s="2" t="s">
        <v>26</v>
      </c>
      <c r="H91" s="2" t="str">
        <f t="shared" si="2"/>
        <v>gemini|with_guideline|52</v>
      </c>
    </row>
    <row r="92" spans="1:8" x14ac:dyDescent="0.2">
      <c r="A92" s="2" t="s">
        <v>31</v>
      </c>
      <c r="B92" s="2" t="s">
        <v>9</v>
      </c>
      <c r="C92" s="2">
        <v>1</v>
      </c>
      <c r="D92" s="2" t="s">
        <v>10</v>
      </c>
      <c r="E92" s="2" t="s">
        <v>29</v>
      </c>
      <c r="F92" s="3" t="b">
        <f>FALSE()</f>
        <v>0</v>
      </c>
      <c r="G92" s="2" t="s">
        <v>12</v>
      </c>
      <c r="H92" s="2" t="str">
        <f t="shared" si="2"/>
        <v>llama|no_guideline|1</v>
      </c>
    </row>
    <row r="93" spans="1:8" x14ac:dyDescent="0.2">
      <c r="A93" s="2" t="s">
        <v>31</v>
      </c>
      <c r="B93" s="2" t="s">
        <v>9</v>
      </c>
      <c r="C93" s="2">
        <v>2</v>
      </c>
      <c r="D93" s="2" t="s">
        <v>10</v>
      </c>
      <c r="E93" s="2" t="s">
        <v>29</v>
      </c>
      <c r="F93" s="3" t="b">
        <f>FALSE()</f>
        <v>0</v>
      </c>
      <c r="G93" s="2" t="s">
        <v>13</v>
      </c>
      <c r="H93" s="2" t="str">
        <f t="shared" si="2"/>
        <v>llama|no_guideline|2</v>
      </c>
    </row>
    <row r="94" spans="1:8" x14ac:dyDescent="0.2">
      <c r="A94" s="2" t="s">
        <v>31</v>
      </c>
      <c r="B94" s="2" t="s">
        <v>9</v>
      </c>
      <c r="C94" s="2">
        <v>3</v>
      </c>
      <c r="D94" s="2" t="s">
        <v>10</v>
      </c>
      <c r="E94" s="2" t="s">
        <v>10</v>
      </c>
      <c r="F94" s="4" t="b">
        <f>TRUE()</f>
        <v>1</v>
      </c>
      <c r="G94" s="2" t="s">
        <v>14</v>
      </c>
      <c r="H94" s="2" t="str">
        <f t="shared" si="2"/>
        <v>llama|no_guideline|3</v>
      </c>
    </row>
    <row r="95" spans="1:8" x14ac:dyDescent="0.2">
      <c r="A95" s="2" t="s">
        <v>31</v>
      </c>
      <c r="B95" s="2" t="s">
        <v>9</v>
      </c>
      <c r="C95" s="2">
        <v>4</v>
      </c>
      <c r="D95" s="2" t="s">
        <v>10</v>
      </c>
      <c r="E95" s="2" t="s">
        <v>29</v>
      </c>
      <c r="F95" s="3" t="b">
        <f>FALSE()</f>
        <v>0</v>
      </c>
      <c r="G95" s="2" t="s">
        <v>15</v>
      </c>
      <c r="H95" s="2" t="str">
        <f t="shared" si="2"/>
        <v>llama|no_guideline|4</v>
      </c>
    </row>
    <row r="96" spans="1:8" x14ac:dyDescent="0.2">
      <c r="A96" s="2" t="s">
        <v>31</v>
      </c>
      <c r="B96" s="2" t="s">
        <v>9</v>
      </c>
      <c r="C96" s="2">
        <v>11</v>
      </c>
      <c r="D96" s="2" t="s">
        <v>10</v>
      </c>
      <c r="E96" s="2" t="s">
        <v>29</v>
      </c>
      <c r="F96" s="3" t="b">
        <f>FALSE()</f>
        <v>0</v>
      </c>
      <c r="G96" s="2" t="s">
        <v>16</v>
      </c>
      <c r="H96" s="2" t="str">
        <f t="shared" si="2"/>
        <v>llama|no_guideline|11</v>
      </c>
    </row>
    <row r="97" spans="1:8" x14ac:dyDescent="0.2">
      <c r="A97" s="2" t="s">
        <v>31</v>
      </c>
      <c r="B97" s="2" t="s">
        <v>9</v>
      </c>
      <c r="C97" s="2">
        <v>12</v>
      </c>
      <c r="D97" s="2" t="s">
        <v>10</v>
      </c>
      <c r="E97" s="2" t="s">
        <v>29</v>
      </c>
      <c r="F97" s="3" t="b">
        <f>FALSE()</f>
        <v>0</v>
      </c>
      <c r="G97" s="2" t="s">
        <v>17</v>
      </c>
      <c r="H97" s="2" t="str">
        <f t="shared" si="2"/>
        <v>llama|no_guideline|12</v>
      </c>
    </row>
    <row r="98" spans="1:8" x14ac:dyDescent="0.2">
      <c r="A98" s="2" t="s">
        <v>31</v>
      </c>
      <c r="B98" s="2" t="s">
        <v>9</v>
      </c>
      <c r="C98" s="2">
        <v>13</v>
      </c>
      <c r="D98" s="2" t="s">
        <v>10</v>
      </c>
      <c r="E98" s="2" t="s">
        <v>29</v>
      </c>
      <c r="F98" s="3" t="b">
        <f>FALSE()</f>
        <v>0</v>
      </c>
      <c r="G98" s="2" t="s">
        <v>18</v>
      </c>
      <c r="H98" s="2" t="str">
        <f t="shared" ref="H98:H121" si="3">A98&amp;"|"&amp;B98&amp;"|"&amp;C98</f>
        <v>llama|no_guideline|13</v>
      </c>
    </row>
    <row r="99" spans="1:8" x14ac:dyDescent="0.2">
      <c r="A99" s="2" t="s">
        <v>31</v>
      </c>
      <c r="B99" s="2" t="s">
        <v>9</v>
      </c>
      <c r="C99" s="2">
        <v>21</v>
      </c>
      <c r="D99" s="2" t="s">
        <v>10</v>
      </c>
      <c r="E99" s="2" t="s">
        <v>29</v>
      </c>
      <c r="F99" s="3" t="b">
        <f>FALSE()</f>
        <v>0</v>
      </c>
      <c r="G99" s="2" t="s">
        <v>19</v>
      </c>
      <c r="H99" s="2" t="str">
        <f t="shared" si="3"/>
        <v>llama|no_guideline|21</v>
      </c>
    </row>
    <row r="100" spans="1:8" x14ac:dyDescent="0.2">
      <c r="A100" s="2" t="s">
        <v>31</v>
      </c>
      <c r="B100" s="2" t="s">
        <v>9</v>
      </c>
      <c r="C100" s="2">
        <v>22</v>
      </c>
      <c r="D100" s="2" t="s">
        <v>10</v>
      </c>
      <c r="E100" s="2" t="s">
        <v>29</v>
      </c>
      <c r="F100" s="3" t="b">
        <f>FALSE()</f>
        <v>0</v>
      </c>
      <c r="G100" s="2" t="s">
        <v>20</v>
      </c>
      <c r="H100" s="2" t="str">
        <f t="shared" si="3"/>
        <v>llama|no_guideline|22</v>
      </c>
    </row>
    <row r="101" spans="1:8" x14ac:dyDescent="0.2">
      <c r="A101" s="2" t="s">
        <v>31</v>
      </c>
      <c r="B101" s="2" t="s">
        <v>9</v>
      </c>
      <c r="C101" s="2">
        <v>31</v>
      </c>
      <c r="D101" s="2" t="s">
        <v>10</v>
      </c>
      <c r="E101" s="2" t="s">
        <v>29</v>
      </c>
      <c r="F101" s="3" t="b">
        <f>FALSE()</f>
        <v>0</v>
      </c>
      <c r="G101" s="2" t="s">
        <v>21</v>
      </c>
      <c r="H101" s="2" t="str">
        <f t="shared" si="3"/>
        <v>llama|no_guideline|31</v>
      </c>
    </row>
    <row r="102" spans="1:8" x14ac:dyDescent="0.2">
      <c r="A102" s="2" t="s">
        <v>31</v>
      </c>
      <c r="B102" s="2" t="s">
        <v>9</v>
      </c>
      <c r="C102" s="2">
        <v>32</v>
      </c>
      <c r="D102" s="2" t="s">
        <v>10</v>
      </c>
      <c r="E102" s="2" t="s">
        <v>29</v>
      </c>
      <c r="F102" s="3" t="b">
        <f>FALSE()</f>
        <v>0</v>
      </c>
      <c r="G102" s="2" t="s">
        <v>22</v>
      </c>
      <c r="H102" s="2" t="str">
        <f t="shared" si="3"/>
        <v>llama|no_guideline|32</v>
      </c>
    </row>
    <row r="103" spans="1:8" x14ac:dyDescent="0.2">
      <c r="A103" s="2" t="s">
        <v>31</v>
      </c>
      <c r="B103" s="2" t="s">
        <v>9</v>
      </c>
      <c r="C103" s="2">
        <v>41</v>
      </c>
      <c r="D103" s="2" t="s">
        <v>11</v>
      </c>
      <c r="E103" s="2" t="s">
        <v>29</v>
      </c>
      <c r="F103" s="3" t="b">
        <f>FALSE()</f>
        <v>0</v>
      </c>
      <c r="G103" s="2" t="s">
        <v>23</v>
      </c>
      <c r="H103" s="2" t="str">
        <f t="shared" si="3"/>
        <v>llama|no_guideline|41</v>
      </c>
    </row>
    <row r="104" spans="1:8" x14ac:dyDescent="0.2">
      <c r="A104" s="2" t="s">
        <v>31</v>
      </c>
      <c r="B104" s="2" t="s">
        <v>9</v>
      </c>
      <c r="C104" s="2">
        <v>42</v>
      </c>
      <c r="D104" s="2" t="s">
        <v>11</v>
      </c>
      <c r="E104" s="2" t="s">
        <v>29</v>
      </c>
      <c r="F104" s="3" t="b">
        <f>FALSE()</f>
        <v>0</v>
      </c>
      <c r="G104" s="2" t="s">
        <v>24</v>
      </c>
      <c r="H104" s="2" t="str">
        <f t="shared" si="3"/>
        <v>llama|no_guideline|42</v>
      </c>
    </row>
    <row r="105" spans="1:8" x14ac:dyDescent="0.2">
      <c r="A105" s="2" t="s">
        <v>31</v>
      </c>
      <c r="B105" s="2" t="s">
        <v>9</v>
      </c>
      <c r="C105" s="2">
        <v>51</v>
      </c>
      <c r="D105" s="2" t="s">
        <v>11</v>
      </c>
      <c r="E105" s="2" t="s">
        <v>29</v>
      </c>
      <c r="F105" s="3" t="b">
        <f>FALSE()</f>
        <v>0</v>
      </c>
      <c r="G105" s="2" t="s">
        <v>25</v>
      </c>
      <c r="H105" s="2" t="str">
        <f t="shared" si="3"/>
        <v>llama|no_guideline|51</v>
      </c>
    </row>
    <row r="106" spans="1:8" x14ac:dyDescent="0.2">
      <c r="A106" s="2" t="s">
        <v>31</v>
      </c>
      <c r="B106" s="2" t="s">
        <v>9</v>
      </c>
      <c r="C106" s="2">
        <v>52</v>
      </c>
      <c r="D106" s="2" t="s">
        <v>11</v>
      </c>
      <c r="E106" s="2" t="s">
        <v>29</v>
      </c>
      <c r="F106" s="3" t="b">
        <f>FALSE()</f>
        <v>0</v>
      </c>
      <c r="G106" s="2" t="s">
        <v>26</v>
      </c>
      <c r="H106" s="2" t="str">
        <f t="shared" si="3"/>
        <v>llama|no_guideline|52</v>
      </c>
    </row>
    <row r="107" spans="1:8" x14ac:dyDescent="0.2">
      <c r="A107" s="2" t="s">
        <v>31</v>
      </c>
      <c r="B107" s="2" t="s">
        <v>27</v>
      </c>
      <c r="C107" s="2">
        <v>1</v>
      </c>
      <c r="D107" s="2" t="s">
        <v>10</v>
      </c>
      <c r="E107" s="2" t="s">
        <v>29</v>
      </c>
      <c r="F107" s="3" t="b">
        <f>FALSE()</f>
        <v>0</v>
      </c>
      <c r="G107" s="2" t="s">
        <v>12</v>
      </c>
      <c r="H107" s="2" t="str">
        <f t="shared" si="3"/>
        <v>llama|with_guideline|1</v>
      </c>
    </row>
    <row r="108" spans="1:8" x14ac:dyDescent="0.2">
      <c r="A108" s="2" t="s">
        <v>31</v>
      </c>
      <c r="B108" s="2" t="s">
        <v>27</v>
      </c>
      <c r="C108" s="2">
        <v>2</v>
      </c>
      <c r="D108" s="2" t="s">
        <v>10</v>
      </c>
      <c r="E108" s="2" t="s">
        <v>29</v>
      </c>
      <c r="F108" s="3" t="b">
        <f>FALSE()</f>
        <v>0</v>
      </c>
      <c r="G108" s="2" t="s">
        <v>13</v>
      </c>
      <c r="H108" s="2" t="str">
        <f t="shared" si="3"/>
        <v>llama|with_guideline|2</v>
      </c>
    </row>
    <row r="109" spans="1:8" x14ac:dyDescent="0.2">
      <c r="A109" s="2" t="s">
        <v>31</v>
      </c>
      <c r="B109" s="2" t="s">
        <v>27</v>
      </c>
      <c r="C109" s="2">
        <v>3</v>
      </c>
      <c r="D109" s="2" t="s">
        <v>10</v>
      </c>
      <c r="E109" s="2" t="s">
        <v>29</v>
      </c>
      <c r="F109" s="3" t="b">
        <f>FALSE()</f>
        <v>0</v>
      </c>
      <c r="G109" s="2" t="s">
        <v>14</v>
      </c>
      <c r="H109" s="2" t="str">
        <f t="shared" si="3"/>
        <v>llama|with_guideline|3</v>
      </c>
    </row>
    <row r="110" spans="1:8" x14ac:dyDescent="0.2">
      <c r="A110" s="2" t="s">
        <v>31</v>
      </c>
      <c r="B110" s="2" t="s">
        <v>27</v>
      </c>
      <c r="C110" s="2">
        <v>4</v>
      </c>
      <c r="D110" s="2" t="s">
        <v>10</v>
      </c>
      <c r="E110" s="2" t="s">
        <v>29</v>
      </c>
      <c r="F110" s="3" t="b">
        <f>FALSE()</f>
        <v>0</v>
      </c>
      <c r="G110" s="2" t="s">
        <v>15</v>
      </c>
      <c r="H110" s="2" t="str">
        <f t="shared" si="3"/>
        <v>llama|with_guideline|4</v>
      </c>
    </row>
    <row r="111" spans="1:8" x14ac:dyDescent="0.2">
      <c r="A111" s="2" t="s">
        <v>31</v>
      </c>
      <c r="B111" s="2" t="s">
        <v>27</v>
      </c>
      <c r="C111" s="2">
        <v>11</v>
      </c>
      <c r="D111" s="2" t="s">
        <v>10</v>
      </c>
      <c r="E111" s="2" t="s">
        <v>29</v>
      </c>
      <c r="F111" s="3" t="b">
        <f>FALSE()</f>
        <v>0</v>
      </c>
      <c r="G111" s="2" t="s">
        <v>16</v>
      </c>
      <c r="H111" s="2" t="str">
        <f t="shared" si="3"/>
        <v>llama|with_guideline|11</v>
      </c>
    </row>
    <row r="112" spans="1:8" x14ac:dyDescent="0.2">
      <c r="A112" s="2" t="s">
        <v>31</v>
      </c>
      <c r="B112" s="2" t="s">
        <v>27</v>
      </c>
      <c r="C112" s="2">
        <v>12</v>
      </c>
      <c r="D112" s="2" t="s">
        <v>10</v>
      </c>
      <c r="E112" s="2" t="s">
        <v>29</v>
      </c>
      <c r="F112" s="3" t="b">
        <f>FALSE()</f>
        <v>0</v>
      </c>
      <c r="G112" s="2" t="s">
        <v>17</v>
      </c>
      <c r="H112" s="2" t="str">
        <f t="shared" si="3"/>
        <v>llama|with_guideline|12</v>
      </c>
    </row>
    <row r="113" spans="1:8" x14ac:dyDescent="0.2">
      <c r="A113" s="2" t="s">
        <v>31</v>
      </c>
      <c r="B113" s="2" t="s">
        <v>27</v>
      </c>
      <c r="C113" s="2">
        <v>13</v>
      </c>
      <c r="D113" s="2" t="s">
        <v>10</v>
      </c>
      <c r="E113" s="2" t="s">
        <v>29</v>
      </c>
      <c r="F113" s="3" t="b">
        <f>FALSE()</f>
        <v>0</v>
      </c>
      <c r="G113" s="2" t="s">
        <v>18</v>
      </c>
      <c r="H113" s="2" t="str">
        <f t="shared" si="3"/>
        <v>llama|with_guideline|13</v>
      </c>
    </row>
    <row r="114" spans="1:8" x14ac:dyDescent="0.2">
      <c r="A114" s="2" t="s">
        <v>31</v>
      </c>
      <c r="B114" s="2" t="s">
        <v>27</v>
      </c>
      <c r="C114" s="2">
        <v>21</v>
      </c>
      <c r="D114" s="2" t="s">
        <v>10</v>
      </c>
      <c r="E114" s="2" t="s">
        <v>29</v>
      </c>
      <c r="F114" s="3" t="b">
        <f>FALSE()</f>
        <v>0</v>
      </c>
      <c r="G114" s="2" t="s">
        <v>19</v>
      </c>
      <c r="H114" s="2" t="str">
        <f t="shared" si="3"/>
        <v>llama|with_guideline|21</v>
      </c>
    </row>
    <row r="115" spans="1:8" x14ac:dyDescent="0.2">
      <c r="A115" s="2" t="s">
        <v>31</v>
      </c>
      <c r="B115" s="2" t="s">
        <v>27</v>
      </c>
      <c r="C115" s="2">
        <v>22</v>
      </c>
      <c r="D115" s="2" t="s">
        <v>10</v>
      </c>
      <c r="E115" s="2" t="s">
        <v>29</v>
      </c>
      <c r="F115" s="3" t="b">
        <f>FALSE()</f>
        <v>0</v>
      </c>
      <c r="G115" s="2" t="s">
        <v>20</v>
      </c>
      <c r="H115" s="2" t="str">
        <f t="shared" si="3"/>
        <v>llama|with_guideline|22</v>
      </c>
    </row>
    <row r="116" spans="1:8" x14ac:dyDescent="0.2">
      <c r="A116" s="2" t="s">
        <v>31</v>
      </c>
      <c r="B116" s="2" t="s">
        <v>27</v>
      </c>
      <c r="C116" s="2">
        <v>31</v>
      </c>
      <c r="D116" s="2" t="s">
        <v>10</v>
      </c>
      <c r="E116" s="2" t="s">
        <v>29</v>
      </c>
      <c r="F116" s="3" t="b">
        <f>FALSE()</f>
        <v>0</v>
      </c>
      <c r="G116" s="2" t="s">
        <v>21</v>
      </c>
      <c r="H116" s="2" t="str">
        <f t="shared" si="3"/>
        <v>llama|with_guideline|31</v>
      </c>
    </row>
    <row r="117" spans="1:8" x14ac:dyDescent="0.2">
      <c r="A117" s="2" t="s">
        <v>31</v>
      </c>
      <c r="B117" s="2" t="s">
        <v>27</v>
      </c>
      <c r="C117" s="2">
        <v>32</v>
      </c>
      <c r="D117" s="2" t="s">
        <v>10</v>
      </c>
      <c r="E117" s="2" t="s">
        <v>29</v>
      </c>
      <c r="F117" s="3" t="b">
        <f>FALSE()</f>
        <v>0</v>
      </c>
      <c r="G117" s="2" t="s">
        <v>22</v>
      </c>
      <c r="H117" s="2" t="str">
        <f t="shared" si="3"/>
        <v>llama|with_guideline|32</v>
      </c>
    </row>
    <row r="118" spans="1:8" x14ac:dyDescent="0.2">
      <c r="A118" s="2" t="s">
        <v>31</v>
      </c>
      <c r="B118" s="2" t="s">
        <v>27</v>
      </c>
      <c r="C118" s="2">
        <v>41</v>
      </c>
      <c r="D118" s="2" t="s">
        <v>11</v>
      </c>
      <c r="E118" s="2" t="s">
        <v>29</v>
      </c>
      <c r="F118" s="3" t="b">
        <f>FALSE()</f>
        <v>0</v>
      </c>
      <c r="G118" s="2" t="s">
        <v>23</v>
      </c>
      <c r="H118" s="2" t="str">
        <f t="shared" si="3"/>
        <v>llama|with_guideline|41</v>
      </c>
    </row>
    <row r="119" spans="1:8" x14ac:dyDescent="0.2">
      <c r="A119" s="2" t="s">
        <v>31</v>
      </c>
      <c r="B119" s="2" t="s">
        <v>27</v>
      </c>
      <c r="C119" s="2">
        <v>42</v>
      </c>
      <c r="D119" s="2" t="s">
        <v>11</v>
      </c>
      <c r="E119" s="2" t="s">
        <v>29</v>
      </c>
      <c r="F119" s="3" t="b">
        <f>FALSE()</f>
        <v>0</v>
      </c>
      <c r="G119" s="2" t="s">
        <v>24</v>
      </c>
      <c r="H119" s="2" t="str">
        <f t="shared" si="3"/>
        <v>llama|with_guideline|42</v>
      </c>
    </row>
    <row r="120" spans="1:8" x14ac:dyDescent="0.2">
      <c r="A120" s="2" t="s">
        <v>31</v>
      </c>
      <c r="B120" s="2" t="s">
        <v>27</v>
      </c>
      <c r="C120" s="2">
        <v>51</v>
      </c>
      <c r="D120" s="2" t="s">
        <v>11</v>
      </c>
      <c r="E120" s="2" t="s">
        <v>29</v>
      </c>
      <c r="F120" s="3" t="b">
        <f>FALSE()</f>
        <v>0</v>
      </c>
      <c r="G120" s="2" t="s">
        <v>25</v>
      </c>
      <c r="H120" s="2" t="str">
        <f t="shared" si="3"/>
        <v>llama|with_guideline|51</v>
      </c>
    </row>
    <row r="121" spans="1:8" x14ac:dyDescent="0.2">
      <c r="A121" s="2" t="s">
        <v>31</v>
      </c>
      <c r="B121" s="2" t="s">
        <v>27</v>
      </c>
      <c r="C121" s="2">
        <v>52</v>
      </c>
      <c r="D121" s="2" t="s">
        <v>11</v>
      </c>
      <c r="E121" s="2" t="s">
        <v>29</v>
      </c>
      <c r="F121" s="3" t="b">
        <f>FALSE()</f>
        <v>0</v>
      </c>
      <c r="G121" s="2" t="s">
        <v>26</v>
      </c>
      <c r="H121" s="2" t="str">
        <f t="shared" si="3"/>
        <v>llama|with_guideline|52</v>
      </c>
    </row>
    <row r="124" spans="1:8" x14ac:dyDescent="0.2">
      <c r="A124" s="1" t="s">
        <v>0</v>
      </c>
      <c r="B124" s="1" t="s">
        <v>1</v>
      </c>
      <c r="C124" t="s">
        <v>5</v>
      </c>
      <c r="D124" s="7" t="s">
        <v>32</v>
      </c>
      <c r="E124" s="7" t="s">
        <v>43</v>
      </c>
      <c r="F124" t="s">
        <v>33</v>
      </c>
    </row>
    <row r="125" spans="1:8" x14ac:dyDescent="0.2">
      <c r="A125" s="2" t="s">
        <v>8</v>
      </c>
      <c r="B125" s="2" t="s">
        <v>9</v>
      </c>
      <c r="C125">
        <f>COUNTIFS(A2:A121,"gpt",B2:B121,"no_guideline",F2:F121,TRUE)</f>
        <v>8</v>
      </c>
      <c r="D125">
        <v>15</v>
      </c>
      <c r="E125" s="8">
        <f>C125/D125</f>
        <v>0.53333333333333333</v>
      </c>
      <c r="F125">
        <f>COUNTIFS(A2:A121,"gpt",B2:B121,"no_guideline",E2:E121,"PARSE_ERROR")</f>
        <v>0</v>
      </c>
    </row>
    <row r="126" spans="1:8" x14ac:dyDescent="0.2">
      <c r="A126" s="2" t="s">
        <v>8</v>
      </c>
      <c r="B126" s="2" t="s">
        <v>27</v>
      </c>
      <c r="C126">
        <f>COUNTIFS(A2:A121,"gpt",B2:B121,"with_guideline",F2:F121,TRUE)</f>
        <v>15</v>
      </c>
      <c r="D126">
        <v>15</v>
      </c>
      <c r="E126" s="8">
        <f t="shared" ref="E126:E132" si="4">C126/D126</f>
        <v>1</v>
      </c>
      <c r="F126">
        <f>COUNTIFS(A2:A121,"gpt",B2:B121,"with_guideline",E2:E121,"PARSE_ERROR")</f>
        <v>0</v>
      </c>
    </row>
    <row r="127" spans="1:8" x14ac:dyDescent="0.2">
      <c r="A127" s="2" t="s">
        <v>28</v>
      </c>
      <c r="B127" s="2" t="s">
        <v>9</v>
      </c>
      <c r="C127">
        <f>COUNTIFS(A2:A121,"claude",B2:B121,"no_guideline",F2:F121,TRUE)</f>
        <v>0</v>
      </c>
      <c r="D127">
        <v>15</v>
      </c>
      <c r="E127" s="8">
        <f t="shared" si="4"/>
        <v>0</v>
      </c>
      <c r="F127">
        <f>COUNTIFS(A2:A121,"claude",B2:B121,"no_guideline",E2:E121,"PARSE_ERROR")</f>
        <v>15</v>
      </c>
    </row>
    <row r="128" spans="1:8" x14ac:dyDescent="0.2">
      <c r="A128" s="2" t="s">
        <v>28</v>
      </c>
      <c r="B128" s="2" t="s">
        <v>27</v>
      </c>
      <c r="C128">
        <f>COUNTIFS(A2:A121,"claude",B2:B121,"with_guideline",F2:F121,TRUE)</f>
        <v>3</v>
      </c>
      <c r="D128">
        <v>15</v>
      </c>
      <c r="E128" s="8">
        <f t="shared" si="4"/>
        <v>0.2</v>
      </c>
      <c r="F128">
        <f>COUNTIFS(A2:A121,"claude",B2:B121,"with_guideline",E2:E121,"PARSE_ERROR")</f>
        <v>12</v>
      </c>
    </row>
    <row r="129" spans="1:8" x14ac:dyDescent="0.2">
      <c r="A129" s="2" t="s">
        <v>30</v>
      </c>
      <c r="B129" s="2" t="s">
        <v>9</v>
      </c>
      <c r="C129">
        <f>COUNTIFS(A2:A121,"gemini",B2:B121,"no_guideline",F2:F121,TRUE)</f>
        <v>5</v>
      </c>
      <c r="D129">
        <v>15</v>
      </c>
      <c r="E129" s="8">
        <f t="shared" si="4"/>
        <v>0.33333333333333331</v>
      </c>
      <c r="F129">
        <f>COUNTIFS(A2:A121,"gemini",B2:B121,"no_guideline",E2:E121,"PARSE_ERROR")</f>
        <v>0</v>
      </c>
    </row>
    <row r="130" spans="1:8" x14ac:dyDescent="0.2">
      <c r="A130" s="2" t="s">
        <v>30</v>
      </c>
      <c r="B130" s="2" t="s">
        <v>27</v>
      </c>
      <c r="C130">
        <f>COUNTIFS(A2:A121,"gemini",B2:B121,"with_guideline",F2:F121,TRUE)</f>
        <v>14</v>
      </c>
      <c r="D130">
        <v>15</v>
      </c>
      <c r="E130" s="8">
        <f t="shared" si="4"/>
        <v>0.93333333333333335</v>
      </c>
      <c r="F130">
        <f>COUNTIFS(A2:A121,"gemini",B2:B121,"with_guideline",E2:E121,"PARSE_ERROR")</f>
        <v>0</v>
      </c>
    </row>
    <row r="131" spans="1:8" x14ac:dyDescent="0.2">
      <c r="A131" s="2" t="s">
        <v>31</v>
      </c>
      <c r="B131" s="2" t="s">
        <v>9</v>
      </c>
      <c r="C131">
        <f>COUNTIFS(A2:A121,"llama",B2:B121,"no_guideline",F2:F121,TRUE)</f>
        <v>1</v>
      </c>
      <c r="D131">
        <v>15</v>
      </c>
      <c r="E131" s="8">
        <f t="shared" si="4"/>
        <v>6.6666666666666666E-2</v>
      </c>
      <c r="F131">
        <f>COUNTIFS(A2:A121,"llama",B2:B121,"no_guideline",E2:E121,"PARSE_ERROR")</f>
        <v>14</v>
      </c>
    </row>
    <row r="132" spans="1:8" x14ac:dyDescent="0.2">
      <c r="A132" s="2" t="s">
        <v>31</v>
      </c>
      <c r="B132" s="2" t="s">
        <v>27</v>
      </c>
      <c r="C132">
        <f>COUNTIFS(A2:A121,"llama",B2:B121,"with_guideline",F2:F121,TRUE)</f>
        <v>0</v>
      </c>
      <c r="D132">
        <v>15</v>
      </c>
      <c r="E132" s="8">
        <f t="shared" si="4"/>
        <v>0</v>
      </c>
      <c r="F132">
        <f>COUNTIFS(A2:A121,"llama",B2:B121,"with_guideline",E2:E121,"PARSE_ERROR")</f>
        <v>15</v>
      </c>
    </row>
    <row r="135" spans="1:8" x14ac:dyDescent="0.2">
      <c r="A135" s="9"/>
      <c r="B135" s="9"/>
      <c r="C135" s="9"/>
      <c r="D135" s="12" t="s">
        <v>44</v>
      </c>
    </row>
    <row r="136" spans="1:8" x14ac:dyDescent="0.2">
      <c r="A136" s="10"/>
      <c r="B136" s="10"/>
      <c r="C136" s="9"/>
      <c r="D136" s="1" t="s">
        <v>0</v>
      </c>
      <c r="E136" s="1" t="s">
        <v>34</v>
      </c>
      <c r="F136" s="1" t="s">
        <v>35</v>
      </c>
      <c r="G136" s="1" t="s">
        <v>36</v>
      </c>
    </row>
    <row r="137" spans="1:8" x14ac:dyDescent="0.2">
      <c r="A137" s="7"/>
      <c r="B137" s="7"/>
      <c r="C137" s="9"/>
      <c r="D137" s="2" t="s">
        <v>8</v>
      </c>
      <c r="E137" s="8">
        <v>0.53300000000000003</v>
      </c>
      <c r="F137" s="5">
        <v>1</v>
      </c>
      <c r="G137" s="6">
        <f>IF(OR(E137="N/A",F137="N/A"),"N/A",F137-E137)</f>
        <v>0.46699999999999997</v>
      </c>
    </row>
    <row r="138" spans="1:8" x14ac:dyDescent="0.2">
      <c r="A138" s="7"/>
      <c r="B138" s="7"/>
      <c r="C138" s="9"/>
      <c r="D138" s="2" t="s">
        <v>28</v>
      </c>
      <c r="E138" s="5">
        <v>0</v>
      </c>
      <c r="F138" s="5">
        <v>0.2</v>
      </c>
      <c r="G138" s="6">
        <f>IF(OR(E138="N/A",F138="N/A"),"N/A",F138-E138)</f>
        <v>0.2</v>
      </c>
    </row>
    <row r="139" spans="1:8" x14ac:dyDescent="0.2">
      <c r="A139" s="7"/>
      <c r="B139" s="7"/>
      <c r="C139" s="9"/>
      <c r="D139" s="2" t="s">
        <v>30</v>
      </c>
      <c r="E139" s="5">
        <v>0.33300000000000002</v>
      </c>
      <c r="F139" s="5">
        <v>0.93300000000000005</v>
      </c>
      <c r="G139" s="6">
        <f>IF(OR(E139="N/A",F139="N/A"),"N/A",F139-E139)</f>
        <v>0.60000000000000009</v>
      </c>
    </row>
    <row r="140" spans="1:8" x14ac:dyDescent="0.2">
      <c r="A140" s="7"/>
      <c r="B140" s="7"/>
      <c r="C140" s="9"/>
      <c r="D140" s="2" t="s">
        <v>31</v>
      </c>
      <c r="E140" s="13">
        <v>6.7000000000000004E-2</v>
      </c>
      <c r="F140" s="5">
        <v>0</v>
      </c>
      <c r="G140" s="6">
        <f>IF(OR(E140="N/A",F140="N/A"),"N/A",F140-E140)</f>
        <v>-6.7000000000000004E-2</v>
      </c>
    </row>
    <row r="141" spans="1:8" x14ac:dyDescent="0.2">
      <c r="A141" s="7"/>
      <c r="B141" s="7"/>
      <c r="C141" s="9"/>
      <c r="D141" s="9"/>
      <c r="E141" s="11"/>
      <c r="F141" s="9"/>
    </row>
    <row r="142" spans="1:8" x14ac:dyDescent="0.2">
      <c r="A142" s="7"/>
      <c r="B142" s="7"/>
      <c r="C142" s="9"/>
      <c r="D142" s="9"/>
      <c r="E142" s="11"/>
      <c r="F142" s="9"/>
    </row>
    <row r="143" spans="1:8" x14ac:dyDescent="0.2">
      <c r="A143" s="7"/>
      <c r="B143" s="7"/>
      <c r="C143" s="9"/>
      <c r="D143" s="9"/>
      <c r="E143" s="11"/>
      <c r="F143" s="9"/>
    </row>
    <row r="144" spans="1:8" x14ac:dyDescent="0.2">
      <c r="A144" s="1" t="s">
        <v>2</v>
      </c>
      <c r="B144" s="1" t="s">
        <v>3</v>
      </c>
      <c r="C144" s="1" t="s">
        <v>37</v>
      </c>
      <c r="D144" s="1" t="s">
        <v>38</v>
      </c>
      <c r="E144" s="1" t="s">
        <v>39</v>
      </c>
      <c r="F144" s="1" t="s">
        <v>40</v>
      </c>
      <c r="G144" s="1" t="s">
        <v>41</v>
      </c>
      <c r="H144" s="1" t="s">
        <v>42</v>
      </c>
    </row>
    <row r="145" spans="1:8" x14ac:dyDescent="0.2">
      <c r="A145" s="2">
        <v>1</v>
      </c>
      <c r="B145" s="2" t="str">
        <f>IFERROR(INDEX(asthma_eval!D:D,MATCH("gpt|with_guideline|1",asthma_eval!H:H,0)),"N/A")</f>
        <v>Asthma</v>
      </c>
      <c r="C145" s="2" t="str">
        <f>IFERROR(INDEX(asthma_eval!E:E,MATCH("gpt|with_guideline|1",asthma_eval!H:H,0)),"N/A")</f>
        <v>Asthma</v>
      </c>
      <c r="D145" s="2" t="str">
        <f>IFERROR(INDEX(asthma_eval!E:E,MATCH("claude|with_guideline|1",asthma_eval!H:H,0)),"N/A")</f>
        <v>Asthma</v>
      </c>
      <c r="E145" s="2" t="str">
        <f>IFERROR(INDEX(asthma_eval!E:E,MATCH("gemini|with_guideline|1",asthma_eval!H:H,0)),"N/A")</f>
        <v>Asthma</v>
      </c>
      <c r="F145" s="2" t="str">
        <f>IFERROR(INDEX(asthma_eval!E:E,MATCH("llama|with_guideline|1",asthma_eval!H:H,0)),"N/A")</f>
        <v>PARSE_ERROR</v>
      </c>
      <c r="G145" s="2">
        <f t="shared" ref="G145:G159" si="5">SUMPRODUCT(((C145:F145)&lt;&gt;B145)*1)</f>
        <v>1</v>
      </c>
      <c r="H145" s="2" t="b">
        <f t="shared" ref="H145:H159" si="6">IF(SUMPRODUCT(1/COUNTIF(C145:F145,C145:F145))=1,TRUE(),FALSE())</f>
        <v>0</v>
      </c>
    </row>
    <row r="146" spans="1:8" x14ac:dyDescent="0.2">
      <c r="A146" s="2">
        <v>2</v>
      </c>
      <c r="B146" s="2" t="str">
        <f>IFERROR(INDEX(asthma_eval!D:D,MATCH("gpt|with_guideline|2",asthma_eval!H:H,0)),"N/A")</f>
        <v>Asthma</v>
      </c>
      <c r="C146" s="2" t="str">
        <f>IFERROR(INDEX(asthma_eval!E:E,MATCH("gpt|with_guideline|2",asthma_eval!H:H,0)),"N/A")</f>
        <v>Asthma</v>
      </c>
      <c r="D146" s="2" t="str">
        <f>IFERROR(INDEX(asthma_eval!E:E,MATCH("claude|with_guideline|2",asthma_eval!H:H,0)),"N/A")</f>
        <v>Asthma</v>
      </c>
      <c r="E146" s="2" t="str">
        <f>IFERROR(INDEX(asthma_eval!E:E,MATCH("gemini|with_guideline|2",asthma_eval!H:H,0)),"N/A")</f>
        <v>Asthma</v>
      </c>
      <c r="F146" s="2" t="str">
        <f>IFERROR(INDEX(asthma_eval!E:E,MATCH("llama|with_guideline|2",asthma_eval!H:H,0)),"N/A")</f>
        <v>PARSE_ERROR</v>
      </c>
      <c r="G146" s="2">
        <f t="shared" si="5"/>
        <v>1</v>
      </c>
      <c r="H146" s="2" t="b">
        <f t="shared" si="6"/>
        <v>0</v>
      </c>
    </row>
    <row r="147" spans="1:8" x14ac:dyDescent="0.2">
      <c r="A147" s="2">
        <v>3</v>
      </c>
      <c r="B147" s="2" t="str">
        <f>IFERROR(INDEX(asthma_eval!D:D,MATCH("gpt|with_guideline|3",asthma_eval!H:H,0)),"N/A")</f>
        <v>Asthma</v>
      </c>
      <c r="C147" s="2" t="str">
        <f>IFERROR(INDEX(asthma_eval!E:E,MATCH("gpt|with_guideline|3",asthma_eval!H:H,0)),"N/A")</f>
        <v>Asthma</v>
      </c>
      <c r="D147" s="2" t="str">
        <f>IFERROR(INDEX(asthma_eval!E:E,MATCH("claude|with_guideline|3",asthma_eval!H:H,0)),"N/A")</f>
        <v>Asthma</v>
      </c>
      <c r="E147" s="2" t="str">
        <f>IFERROR(INDEX(asthma_eval!E:E,MATCH("gemini|with_guideline|3",asthma_eval!H:H,0)),"N/A")</f>
        <v>Asthma</v>
      </c>
      <c r="F147" s="2" t="str">
        <f>IFERROR(INDEX(asthma_eval!E:E,MATCH("llama|with_guideline|3",asthma_eval!H:H,0)),"N/A")</f>
        <v>PARSE_ERROR</v>
      </c>
      <c r="G147" s="2">
        <f t="shared" si="5"/>
        <v>1</v>
      </c>
      <c r="H147" s="2" t="b">
        <f t="shared" si="6"/>
        <v>0</v>
      </c>
    </row>
    <row r="148" spans="1:8" x14ac:dyDescent="0.2">
      <c r="A148" s="2">
        <v>4</v>
      </c>
      <c r="B148" s="2" t="str">
        <f>IFERROR(INDEX(asthma_eval!D:D,MATCH("gpt|with_guideline|4",asthma_eval!H:H,0)),"N/A")</f>
        <v>Asthma</v>
      </c>
      <c r="C148" s="2" t="str">
        <f>IFERROR(INDEX(asthma_eval!E:E,MATCH("gpt|with_guideline|4",asthma_eval!H:H,0)),"N/A")</f>
        <v>Asthma</v>
      </c>
      <c r="D148" s="2" t="str">
        <f>IFERROR(INDEX(asthma_eval!E:E,MATCH("claude|with_guideline|4",asthma_eval!H:H,0)),"N/A")</f>
        <v>PARSE_ERROR</v>
      </c>
      <c r="E148" s="2" t="str">
        <f>IFERROR(INDEX(asthma_eval!E:E,MATCH("gemini|with_guideline|4",asthma_eval!H:H,0)),"N/A")</f>
        <v>Asthma</v>
      </c>
      <c r="F148" s="2" t="str">
        <f>IFERROR(INDEX(asthma_eval!E:E,MATCH("llama|with_guideline|4",asthma_eval!H:H,0)),"N/A")</f>
        <v>PARSE_ERROR</v>
      </c>
      <c r="G148" s="2">
        <f t="shared" si="5"/>
        <v>2</v>
      </c>
      <c r="H148" s="2" t="b">
        <f t="shared" si="6"/>
        <v>0</v>
      </c>
    </row>
    <row r="149" spans="1:8" x14ac:dyDescent="0.2">
      <c r="A149" s="2">
        <v>11</v>
      </c>
      <c r="B149" s="2" t="str">
        <f>IFERROR(INDEX(asthma_eval!D:D,MATCH("gpt|with_guideline|11",asthma_eval!H:H,0)),"N/A")</f>
        <v>Asthma</v>
      </c>
      <c r="C149" s="2" t="str">
        <f>IFERROR(INDEX(asthma_eval!E:E,MATCH("gpt|with_guideline|11",asthma_eval!H:H,0)),"N/A")</f>
        <v>Asthma</v>
      </c>
      <c r="D149" s="2" t="str">
        <f>IFERROR(INDEX(asthma_eval!E:E,MATCH("claude|with_guideline|11",asthma_eval!H:H,0)),"N/A")</f>
        <v>PARSE_ERROR</v>
      </c>
      <c r="E149" s="2" t="str">
        <f>IFERROR(INDEX(asthma_eval!E:E,MATCH("gemini|with_guideline|11",asthma_eval!H:H,0)),"N/A")</f>
        <v>Asthma</v>
      </c>
      <c r="F149" s="2" t="str">
        <f>IFERROR(INDEX(asthma_eval!E:E,MATCH("llama|with_guideline|11",asthma_eval!H:H,0)),"N/A")</f>
        <v>PARSE_ERROR</v>
      </c>
      <c r="G149" s="2">
        <f t="shared" si="5"/>
        <v>2</v>
      </c>
      <c r="H149" s="2" t="b">
        <f t="shared" si="6"/>
        <v>0</v>
      </c>
    </row>
    <row r="150" spans="1:8" x14ac:dyDescent="0.2">
      <c r="A150" s="2">
        <v>12</v>
      </c>
      <c r="B150" s="2" t="str">
        <f>IFERROR(INDEX(asthma_eval!D:D,MATCH("gpt|with_guideline|12",asthma_eval!H:H,0)),"N/A")</f>
        <v>Asthma</v>
      </c>
      <c r="C150" s="2" t="str">
        <f>IFERROR(INDEX(asthma_eval!E:E,MATCH("gpt|with_guideline|12",asthma_eval!H:H,0)),"N/A")</f>
        <v>Asthma</v>
      </c>
      <c r="D150" s="2" t="str">
        <f>IFERROR(INDEX(asthma_eval!E:E,MATCH("claude|with_guideline|12",asthma_eval!H:H,0)),"N/A")</f>
        <v>PARSE_ERROR</v>
      </c>
      <c r="E150" s="2" t="str">
        <f>IFERROR(INDEX(asthma_eval!E:E,MATCH("gemini|with_guideline|12",asthma_eval!H:H,0)),"N/A")</f>
        <v>AlternativeDiagnosis</v>
      </c>
      <c r="F150" s="2" t="str">
        <f>IFERROR(INDEX(asthma_eval!E:E,MATCH("llama|with_guideline|12",asthma_eval!H:H,0)),"N/A")</f>
        <v>PARSE_ERROR</v>
      </c>
      <c r="G150" s="2">
        <f t="shared" si="5"/>
        <v>3</v>
      </c>
      <c r="H150" s="2" t="b">
        <f t="shared" si="6"/>
        <v>0</v>
      </c>
    </row>
    <row r="151" spans="1:8" x14ac:dyDescent="0.2">
      <c r="A151" s="2">
        <v>13</v>
      </c>
      <c r="B151" s="2" t="str">
        <f>IFERROR(INDEX(asthma_eval!D:D,MATCH("gpt|with_guideline|13",asthma_eval!H:H,0)),"N/A")</f>
        <v>Asthma</v>
      </c>
      <c r="C151" s="2" t="str">
        <f>IFERROR(INDEX(asthma_eval!E:E,MATCH("gpt|with_guideline|13",asthma_eval!H:H,0)),"N/A")</f>
        <v>Asthma</v>
      </c>
      <c r="D151" s="2" t="str">
        <f>IFERROR(INDEX(asthma_eval!E:E,MATCH("claude|with_guideline|13",asthma_eval!H:H,0)),"N/A")</f>
        <v>PARSE_ERROR</v>
      </c>
      <c r="E151" s="2" t="str">
        <f>IFERROR(INDEX(asthma_eval!E:E,MATCH("gemini|with_guideline|13",asthma_eval!H:H,0)),"N/A")</f>
        <v>Asthma</v>
      </c>
      <c r="F151" s="2" t="str">
        <f>IFERROR(INDEX(asthma_eval!E:E,MATCH("llama|with_guideline|13",asthma_eval!H:H,0)),"N/A")</f>
        <v>PARSE_ERROR</v>
      </c>
      <c r="G151" s="2">
        <f t="shared" si="5"/>
        <v>2</v>
      </c>
      <c r="H151" s="2" t="b">
        <f t="shared" si="6"/>
        <v>0</v>
      </c>
    </row>
    <row r="152" spans="1:8" x14ac:dyDescent="0.2">
      <c r="A152" s="2">
        <v>21</v>
      </c>
      <c r="B152" s="2" t="str">
        <f>IFERROR(INDEX(asthma_eval!D:D,MATCH("gpt|with_guideline|21",asthma_eval!H:H,0)),"N/A")</f>
        <v>Asthma</v>
      </c>
      <c r="C152" s="2" t="str">
        <f>IFERROR(INDEX(asthma_eval!E:E,MATCH("gpt|with_guideline|21",asthma_eval!H:H,0)),"N/A")</f>
        <v>Asthma</v>
      </c>
      <c r="D152" s="2" t="str">
        <f>IFERROR(INDEX(asthma_eval!E:E,MATCH("claude|with_guideline|21",asthma_eval!H:H,0)),"N/A")</f>
        <v>PARSE_ERROR</v>
      </c>
      <c r="E152" s="2" t="str">
        <f>IFERROR(INDEX(asthma_eval!E:E,MATCH("gemini|with_guideline|21",asthma_eval!H:H,0)),"N/A")</f>
        <v>Asthma</v>
      </c>
      <c r="F152" s="2" t="str">
        <f>IFERROR(INDEX(asthma_eval!E:E,MATCH("llama|with_guideline|21",asthma_eval!H:H,0)),"N/A")</f>
        <v>PARSE_ERROR</v>
      </c>
      <c r="G152" s="2">
        <f t="shared" si="5"/>
        <v>2</v>
      </c>
      <c r="H152" s="2" t="b">
        <f t="shared" si="6"/>
        <v>0</v>
      </c>
    </row>
    <row r="153" spans="1:8" x14ac:dyDescent="0.2">
      <c r="A153" s="2">
        <v>22</v>
      </c>
      <c r="B153" s="2" t="str">
        <f>IFERROR(INDEX(asthma_eval!D:D,MATCH("gpt|with_guideline|22",asthma_eval!H:H,0)),"N/A")</f>
        <v>Asthma</v>
      </c>
      <c r="C153" s="2" t="str">
        <f>IFERROR(INDEX(asthma_eval!E:E,MATCH("gpt|with_guideline|22",asthma_eval!H:H,0)),"N/A")</f>
        <v>Asthma</v>
      </c>
      <c r="D153" s="2" t="str">
        <f>IFERROR(INDEX(asthma_eval!E:E,MATCH("claude|with_guideline|22",asthma_eval!H:H,0)),"N/A")</f>
        <v>PARSE_ERROR</v>
      </c>
      <c r="E153" s="2" t="str">
        <f>IFERROR(INDEX(asthma_eval!E:E,MATCH("gemini|with_guideline|22",asthma_eval!H:H,0)),"N/A")</f>
        <v>Asthma</v>
      </c>
      <c r="F153" s="2" t="str">
        <f>IFERROR(INDEX(asthma_eval!E:E,MATCH("llama|with_guideline|22",asthma_eval!H:H,0)),"N/A")</f>
        <v>PARSE_ERROR</v>
      </c>
      <c r="G153" s="2">
        <f t="shared" si="5"/>
        <v>2</v>
      </c>
      <c r="H153" s="2" t="b">
        <f t="shared" si="6"/>
        <v>0</v>
      </c>
    </row>
    <row r="154" spans="1:8" x14ac:dyDescent="0.2">
      <c r="A154" s="2">
        <v>31</v>
      </c>
      <c r="B154" s="2" t="str">
        <f>IFERROR(INDEX(asthma_eval!D:D,MATCH("gpt|with_guideline|31",asthma_eval!H:H,0)),"N/A")</f>
        <v>Asthma</v>
      </c>
      <c r="C154" s="2" t="str">
        <f>IFERROR(INDEX(asthma_eval!E:E,MATCH("gpt|with_guideline|31",asthma_eval!H:H,0)),"N/A")</f>
        <v>Asthma</v>
      </c>
      <c r="D154" s="2" t="str">
        <f>IFERROR(INDEX(asthma_eval!E:E,MATCH("claude|with_guideline|31",asthma_eval!H:H,0)),"N/A")</f>
        <v>PARSE_ERROR</v>
      </c>
      <c r="E154" s="2" t="str">
        <f>IFERROR(INDEX(asthma_eval!E:E,MATCH("gemini|with_guideline|31",asthma_eval!H:H,0)),"N/A")</f>
        <v>Asthma</v>
      </c>
      <c r="F154" s="2" t="str">
        <f>IFERROR(INDEX(asthma_eval!E:E,MATCH("llama|with_guideline|31",asthma_eval!H:H,0)),"N/A")</f>
        <v>PARSE_ERROR</v>
      </c>
      <c r="G154" s="2">
        <f t="shared" si="5"/>
        <v>2</v>
      </c>
      <c r="H154" s="2" t="b">
        <f t="shared" si="6"/>
        <v>0</v>
      </c>
    </row>
    <row r="155" spans="1:8" x14ac:dyDescent="0.2">
      <c r="A155" s="2">
        <v>32</v>
      </c>
      <c r="B155" s="2" t="str">
        <f>IFERROR(INDEX(asthma_eval!D:D,MATCH("gpt|with_guideline|32",asthma_eval!H:H,0)),"N/A")</f>
        <v>Asthma</v>
      </c>
      <c r="C155" s="2" t="str">
        <f>IFERROR(INDEX(asthma_eval!E:E,MATCH("gpt|with_guideline|32",asthma_eval!H:H,0)),"N/A")</f>
        <v>Asthma</v>
      </c>
      <c r="D155" s="2" t="str">
        <f>IFERROR(INDEX(asthma_eval!E:E,MATCH("claude|with_guideline|32",asthma_eval!H:H,0)),"N/A")</f>
        <v>PARSE_ERROR</v>
      </c>
      <c r="E155" s="2" t="str">
        <f>IFERROR(INDEX(asthma_eval!E:E,MATCH("gemini|with_guideline|32",asthma_eval!H:H,0)),"N/A")</f>
        <v>Asthma</v>
      </c>
      <c r="F155" s="2" t="str">
        <f>IFERROR(INDEX(asthma_eval!E:E,MATCH("llama|with_guideline|32",asthma_eval!H:H,0)),"N/A")</f>
        <v>PARSE_ERROR</v>
      </c>
      <c r="G155" s="2">
        <f t="shared" si="5"/>
        <v>2</v>
      </c>
      <c r="H155" s="2" t="b">
        <f t="shared" si="6"/>
        <v>0</v>
      </c>
    </row>
    <row r="156" spans="1:8" x14ac:dyDescent="0.2">
      <c r="A156" s="2">
        <v>41</v>
      </c>
      <c r="B156" s="2" t="str">
        <f>IFERROR(INDEX(asthma_eval!D:D,MATCH("gpt|with_guideline|41",asthma_eval!H:H,0)),"N/A")</f>
        <v>AlternativeDiagnosis</v>
      </c>
      <c r="C156" s="2" t="str">
        <f>IFERROR(INDEX(asthma_eval!E:E,MATCH("gpt|with_guideline|41",asthma_eval!H:H,0)),"N/A")</f>
        <v>AlternativeDiagnosis</v>
      </c>
      <c r="D156" s="2" t="str">
        <f>IFERROR(INDEX(asthma_eval!E:E,MATCH("claude|with_guideline|41",asthma_eval!H:H,0)),"N/A")</f>
        <v>PARSE_ERROR</v>
      </c>
      <c r="E156" s="2" t="str">
        <f>IFERROR(INDEX(asthma_eval!E:E,MATCH("gemini|with_guideline|41",asthma_eval!H:H,0)),"N/A")</f>
        <v>AlternativeDiagnosis</v>
      </c>
      <c r="F156" s="2" t="str">
        <f>IFERROR(INDEX(asthma_eval!E:E,MATCH("llama|with_guideline|41",asthma_eval!H:H,0)),"N/A")</f>
        <v>PARSE_ERROR</v>
      </c>
      <c r="G156" s="2">
        <f t="shared" si="5"/>
        <v>2</v>
      </c>
      <c r="H156" s="2" t="b">
        <f t="shared" si="6"/>
        <v>0</v>
      </c>
    </row>
    <row r="157" spans="1:8" x14ac:dyDescent="0.2">
      <c r="A157" s="2">
        <v>42</v>
      </c>
      <c r="B157" s="2" t="str">
        <f>IFERROR(INDEX(asthma_eval!D:D,MATCH("gpt|with_guideline|42",asthma_eval!H:H,0)),"N/A")</f>
        <v>AlternativeDiagnosis</v>
      </c>
      <c r="C157" s="2" t="str">
        <f>IFERROR(INDEX(asthma_eval!E:E,MATCH("gpt|with_guideline|42",asthma_eval!H:H,0)),"N/A")</f>
        <v>AlternativeDiagnosis</v>
      </c>
      <c r="D157" s="2" t="str">
        <f>IFERROR(INDEX(asthma_eval!E:E,MATCH("claude|with_guideline|42",asthma_eval!H:H,0)),"N/A")</f>
        <v>PARSE_ERROR</v>
      </c>
      <c r="E157" s="2" t="str">
        <f>IFERROR(INDEX(asthma_eval!E:E,MATCH("gemini|with_guideline|42",asthma_eval!H:H,0)),"N/A")</f>
        <v>AlternativeDiagnosis</v>
      </c>
      <c r="F157" s="2" t="str">
        <f>IFERROR(INDEX(asthma_eval!E:E,MATCH("llama|with_guideline|42",asthma_eval!H:H,0)),"N/A")</f>
        <v>PARSE_ERROR</v>
      </c>
      <c r="G157" s="2">
        <f t="shared" si="5"/>
        <v>2</v>
      </c>
      <c r="H157" s="2" t="b">
        <f t="shared" si="6"/>
        <v>0</v>
      </c>
    </row>
    <row r="158" spans="1:8" x14ac:dyDescent="0.2">
      <c r="A158" s="2">
        <v>51</v>
      </c>
      <c r="B158" s="2" t="str">
        <f>IFERROR(INDEX(asthma_eval!D:D,MATCH("gpt|with_guideline|51",asthma_eval!H:H,0)),"N/A")</f>
        <v>AlternativeDiagnosis</v>
      </c>
      <c r="C158" s="2" t="str">
        <f>IFERROR(INDEX(asthma_eval!E:E,MATCH("gpt|with_guideline|51",asthma_eval!H:H,0)),"N/A")</f>
        <v>AlternativeDiagnosis</v>
      </c>
      <c r="D158" s="2" t="str">
        <f>IFERROR(INDEX(asthma_eval!E:E,MATCH("claude|with_guideline|51",asthma_eval!H:H,0)),"N/A")</f>
        <v>PARSE_ERROR</v>
      </c>
      <c r="E158" s="2" t="str">
        <f>IFERROR(INDEX(asthma_eval!E:E,MATCH("gemini|with_guideline|51",asthma_eval!H:H,0)),"N/A")</f>
        <v>AlternativeDiagnosis</v>
      </c>
      <c r="F158" s="2" t="str">
        <f>IFERROR(INDEX(asthma_eval!E:E,MATCH("llama|with_guideline|51",asthma_eval!H:H,0)),"N/A")</f>
        <v>PARSE_ERROR</v>
      </c>
      <c r="G158" s="2">
        <f t="shared" si="5"/>
        <v>2</v>
      </c>
      <c r="H158" s="2" t="b">
        <f t="shared" si="6"/>
        <v>0</v>
      </c>
    </row>
    <row r="159" spans="1:8" x14ac:dyDescent="0.2">
      <c r="A159" s="2">
        <v>52</v>
      </c>
      <c r="B159" s="2" t="str">
        <f>IFERROR(INDEX(asthma_eval!D:D,MATCH("gpt|with_guideline|52",asthma_eval!H:H,0)),"N/A")</f>
        <v>AlternativeDiagnosis</v>
      </c>
      <c r="C159" s="2" t="str">
        <f>IFERROR(INDEX(asthma_eval!E:E,MATCH("gpt|with_guideline|52",asthma_eval!H:H,0)),"N/A")</f>
        <v>AlternativeDiagnosis</v>
      </c>
      <c r="D159" s="2" t="str">
        <f>IFERROR(INDEX(asthma_eval!E:E,MATCH("claude|with_guideline|52",asthma_eval!H:H,0)),"N/A")</f>
        <v>PARSE_ERROR</v>
      </c>
      <c r="E159" s="2" t="str">
        <f>IFERROR(INDEX(asthma_eval!E:E,MATCH("gemini|with_guideline|52",asthma_eval!H:H,0)),"N/A")</f>
        <v>AlternativeDiagnosis</v>
      </c>
      <c r="F159" s="2" t="str">
        <f>IFERROR(INDEX(asthma_eval!E:E,MATCH("llama|with_guideline|52",asthma_eval!H:H,0)),"N/A")</f>
        <v>PARSE_ERROR</v>
      </c>
      <c r="G159" s="2">
        <f t="shared" si="5"/>
        <v>2</v>
      </c>
      <c r="H159" s="2" t="b">
        <f t="shared" si="6"/>
        <v>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23E8-CDB5-6747-AA16-EBBAFA76DB3C}">
  <dimension ref="A1:H159"/>
  <sheetViews>
    <sheetView topLeftCell="A97" workbookViewId="0">
      <selection activeCell="D140" sqref="A135:D140"/>
    </sheetView>
  </sheetViews>
  <sheetFormatPr baseColWidth="10" defaultRowHeight="15" x14ac:dyDescent="0.2"/>
  <cols>
    <col min="1" max="1" width="13.6640625" customWidth="1"/>
    <col min="2" max="2" width="18.33203125" customWidth="1"/>
    <col min="4" max="4" width="22.83203125" customWidth="1"/>
    <col min="5" max="5" width="19.6640625" customWidth="1"/>
    <col min="7" max="7" width="92.6640625" customWidth="1"/>
  </cols>
  <sheetData>
    <row r="1" spans="1:8" x14ac:dyDescent="0.2">
      <c r="A1" s="10" t="s">
        <v>0</v>
      </c>
      <c r="B1" s="10" t="s">
        <v>1</v>
      </c>
      <c r="C1" s="10" t="s">
        <v>2</v>
      </c>
      <c r="D1" s="10" t="s">
        <v>3</v>
      </c>
      <c r="E1" s="10" t="s">
        <v>4</v>
      </c>
      <c r="F1" s="10" t="s">
        <v>5</v>
      </c>
      <c r="G1" s="10" t="s">
        <v>6</v>
      </c>
      <c r="H1" s="10" t="s">
        <v>7</v>
      </c>
    </row>
    <row r="2" spans="1:8" x14ac:dyDescent="0.2">
      <c r="A2" s="7" t="s">
        <v>8</v>
      </c>
      <c r="B2" s="7" t="s">
        <v>9</v>
      </c>
      <c r="C2" s="7">
        <v>1</v>
      </c>
      <c r="D2" s="7" t="s">
        <v>45</v>
      </c>
      <c r="E2" s="7" t="s">
        <v>45</v>
      </c>
      <c r="F2" s="14" t="b">
        <f>TRUE()</f>
        <v>1</v>
      </c>
      <c r="G2" s="7" t="s">
        <v>46</v>
      </c>
      <c r="H2" s="7" t="str">
        <f t="shared" ref="H2:H65" si="0">A2&amp;"|"&amp;B2&amp;"|"&amp;C2</f>
        <v>gpt|no_guideline|1</v>
      </c>
    </row>
    <row r="3" spans="1:8" x14ac:dyDescent="0.2">
      <c r="A3" s="7" t="s">
        <v>8</v>
      </c>
      <c r="B3" s="7" t="s">
        <v>9</v>
      </c>
      <c r="C3" s="7">
        <v>2</v>
      </c>
      <c r="D3" s="7" t="s">
        <v>47</v>
      </c>
      <c r="E3" s="7" t="s">
        <v>45</v>
      </c>
      <c r="F3" s="15" t="b">
        <f>FALSE()</f>
        <v>0</v>
      </c>
      <c r="G3" s="7" t="s">
        <v>48</v>
      </c>
      <c r="H3" s="7" t="str">
        <f t="shared" si="0"/>
        <v>gpt|no_guideline|2</v>
      </c>
    </row>
    <row r="4" spans="1:8" x14ac:dyDescent="0.2">
      <c r="A4" s="7" t="s">
        <v>8</v>
      </c>
      <c r="B4" s="7" t="s">
        <v>9</v>
      </c>
      <c r="C4" s="7">
        <v>11</v>
      </c>
      <c r="D4" s="7" t="s">
        <v>47</v>
      </c>
      <c r="E4" s="7" t="s">
        <v>45</v>
      </c>
      <c r="F4" s="15" t="b">
        <f>FALSE()</f>
        <v>0</v>
      </c>
      <c r="G4" s="7" t="s">
        <v>49</v>
      </c>
      <c r="H4" s="7" t="str">
        <f t="shared" si="0"/>
        <v>gpt|no_guideline|11</v>
      </c>
    </row>
    <row r="5" spans="1:8" x14ac:dyDescent="0.2">
      <c r="A5" s="7" t="s">
        <v>8</v>
      </c>
      <c r="B5" s="7" t="s">
        <v>9</v>
      </c>
      <c r="C5" s="7">
        <v>12</v>
      </c>
      <c r="D5" s="7" t="s">
        <v>50</v>
      </c>
      <c r="E5" s="7" t="s">
        <v>47</v>
      </c>
      <c r="F5" s="15" t="b">
        <f>FALSE()</f>
        <v>0</v>
      </c>
      <c r="G5" s="7" t="s">
        <v>51</v>
      </c>
      <c r="H5" s="7" t="str">
        <f t="shared" si="0"/>
        <v>gpt|no_guideline|12</v>
      </c>
    </row>
    <row r="6" spans="1:8" x14ac:dyDescent="0.2">
      <c r="A6" s="7" t="s">
        <v>8</v>
      </c>
      <c r="B6" s="7" t="s">
        <v>9</v>
      </c>
      <c r="C6" s="7">
        <v>13</v>
      </c>
      <c r="D6" s="7" t="s">
        <v>47</v>
      </c>
      <c r="E6" s="7" t="s">
        <v>45</v>
      </c>
      <c r="F6" s="15" t="b">
        <f>FALSE()</f>
        <v>0</v>
      </c>
      <c r="G6" s="7" t="s">
        <v>52</v>
      </c>
      <c r="H6" s="7" t="str">
        <f t="shared" si="0"/>
        <v>gpt|no_guideline|13</v>
      </c>
    </row>
    <row r="7" spans="1:8" x14ac:dyDescent="0.2">
      <c r="A7" s="7" t="s">
        <v>8</v>
      </c>
      <c r="B7" s="7" t="s">
        <v>9</v>
      </c>
      <c r="C7" s="7">
        <v>14</v>
      </c>
      <c r="D7" s="7" t="s">
        <v>50</v>
      </c>
      <c r="E7" s="7" t="s">
        <v>47</v>
      </c>
      <c r="F7" s="15" t="b">
        <f>FALSE()</f>
        <v>0</v>
      </c>
      <c r="G7" s="7" t="s">
        <v>53</v>
      </c>
      <c r="H7" s="7" t="str">
        <f t="shared" si="0"/>
        <v>gpt|no_guideline|14</v>
      </c>
    </row>
    <row r="8" spans="1:8" x14ac:dyDescent="0.2">
      <c r="A8" s="7" t="s">
        <v>8</v>
      </c>
      <c r="B8" s="7" t="s">
        <v>9</v>
      </c>
      <c r="C8" s="7">
        <v>26</v>
      </c>
      <c r="D8" s="7" t="s">
        <v>50</v>
      </c>
      <c r="E8" s="7" t="s">
        <v>50</v>
      </c>
      <c r="F8" s="14" t="b">
        <f>TRUE()</f>
        <v>1</v>
      </c>
      <c r="G8" s="7" t="s">
        <v>54</v>
      </c>
      <c r="H8" s="7" t="str">
        <f t="shared" si="0"/>
        <v>gpt|no_guideline|26</v>
      </c>
    </row>
    <row r="9" spans="1:8" x14ac:dyDescent="0.2">
      <c r="A9" s="7" t="s">
        <v>8</v>
      </c>
      <c r="B9" s="7" t="s">
        <v>9</v>
      </c>
      <c r="C9" s="7">
        <v>31</v>
      </c>
      <c r="D9" s="7" t="s">
        <v>50</v>
      </c>
      <c r="E9" s="7" t="s">
        <v>50</v>
      </c>
      <c r="F9" s="14" t="b">
        <f>TRUE()</f>
        <v>1</v>
      </c>
      <c r="G9" s="7" t="s">
        <v>55</v>
      </c>
      <c r="H9" s="7" t="str">
        <f t="shared" si="0"/>
        <v>gpt|no_guideline|31</v>
      </c>
    </row>
    <row r="10" spans="1:8" x14ac:dyDescent="0.2">
      <c r="A10" s="7" t="s">
        <v>8</v>
      </c>
      <c r="B10" s="7" t="s">
        <v>9</v>
      </c>
      <c r="C10" s="7">
        <v>33</v>
      </c>
      <c r="D10" s="7" t="s">
        <v>50</v>
      </c>
      <c r="E10" s="7" t="s">
        <v>50</v>
      </c>
      <c r="F10" s="14" t="b">
        <f>TRUE()</f>
        <v>1</v>
      </c>
      <c r="G10" s="7" t="s">
        <v>56</v>
      </c>
      <c r="H10" s="7" t="str">
        <f t="shared" si="0"/>
        <v>gpt|no_guideline|33</v>
      </c>
    </row>
    <row r="11" spans="1:8" x14ac:dyDescent="0.2">
      <c r="A11" s="7" t="s">
        <v>8</v>
      </c>
      <c r="B11" s="7" t="s">
        <v>9</v>
      </c>
      <c r="C11" s="7">
        <v>41</v>
      </c>
      <c r="D11" s="7" t="s">
        <v>57</v>
      </c>
      <c r="E11" s="7" t="s">
        <v>57</v>
      </c>
      <c r="F11" s="14" t="b">
        <f>TRUE()</f>
        <v>1</v>
      </c>
      <c r="G11" s="7" t="s">
        <v>58</v>
      </c>
      <c r="H11" s="7" t="str">
        <f t="shared" si="0"/>
        <v>gpt|no_guideline|41</v>
      </c>
    </row>
    <row r="12" spans="1:8" x14ac:dyDescent="0.2">
      <c r="A12" s="7" t="s">
        <v>8</v>
      </c>
      <c r="B12" s="7" t="s">
        <v>9</v>
      </c>
      <c r="C12" s="7">
        <v>44</v>
      </c>
      <c r="D12" s="7" t="s">
        <v>57</v>
      </c>
      <c r="E12" s="7" t="s">
        <v>57</v>
      </c>
      <c r="F12" s="14" t="b">
        <f>TRUE()</f>
        <v>1</v>
      </c>
      <c r="G12" s="7" t="s">
        <v>59</v>
      </c>
      <c r="H12" s="7" t="str">
        <f t="shared" si="0"/>
        <v>gpt|no_guideline|44</v>
      </c>
    </row>
    <row r="13" spans="1:8" x14ac:dyDescent="0.2">
      <c r="A13" s="7" t="s">
        <v>8</v>
      </c>
      <c r="B13" s="7" t="s">
        <v>9</v>
      </c>
      <c r="C13" s="7">
        <v>45</v>
      </c>
      <c r="D13" s="7" t="s">
        <v>57</v>
      </c>
      <c r="E13" s="7" t="s">
        <v>50</v>
      </c>
      <c r="F13" s="15" t="b">
        <f>FALSE()</f>
        <v>0</v>
      </c>
      <c r="G13" s="7" t="s">
        <v>60</v>
      </c>
      <c r="H13" s="7" t="str">
        <f t="shared" si="0"/>
        <v>gpt|no_guideline|45</v>
      </c>
    </row>
    <row r="14" spans="1:8" x14ac:dyDescent="0.2">
      <c r="A14" s="7" t="s">
        <v>8</v>
      </c>
      <c r="B14" s="7" t="s">
        <v>9</v>
      </c>
      <c r="C14" s="7">
        <v>51</v>
      </c>
      <c r="D14" s="7" t="s">
        <v>61</v>
      </c>
      <c r="E14" s="7" t="s">
        <v>57</v>
      </c>
      <c r="F14" s="15" t="b">
        <f>FALSE()</f>
        <v>0</v>
      </c>
      <c r="G14" s="7" t="s">
        <v>62</v>
      </c>
      <c r="H14" s="7" t="str">
        <f t="shared" si="0"/>
        <v>gpt|no_guideline|51</v>
      </c>
    </row>
    <row r="15" spans="1:8" x14ac:dyDescent="0.2">
      <c r="A15" s="7" t="s">
        <v>8</v>
      </c>
      <c r="B15" s="7" t="s">
        <v>9</v>
      </c>
      <c r="C15" s="7">
        <v>59</v>
      </c>
      <c r="D15" s="7" t="s">
        <v>61</v>
      </c>
      <c r="E15" s="7" t="s">
        <v>57</v>
      </c>
      <c r="F15" s="15" t="b">
        <f>FALSE()</f>
        <v>0</v>
      </c>
      <c r="G15" s="7" t="s">
        <v>63</v>
      </c>
      <c r="H15" s="7" t="str">
        <f t="shared" si="0"/>
        <v>gpt|no_guideline|59</v>
      </c>
    </row>
    <row r="16" spans="1:8" x14ac:dyDescent="0.2">
      <c r="A16" s="7" t="s">
        <v>8</v>
      </c>
      <c r="B16" s="7" t="s">
        <v>9</v>
      </c>
      <c r="C16" s="7">
        <v>56</v>
      </c>
      <c r="D16" s="7" t="s">
        <v>61</v>
      </c>
      <c r="E16" s="7" t="s">
        <v>50</v>
      </c>
      <c r="F16" s="15" t="b">
        <f>FALSE()</f>
        <v>0</v>
      </c>
      <c r="G16" s="7" t="s">
        <v>64</v>
      </c>
      <c r="H16" s="7" t="str">
        <f t="shared" si="0"/>
        <v>gpt|no_guideline|56</v>
      </c>
    </row>
    <row r="17" spans="1:8" x14ac:dyDescent="0.2">
      <c r="A17" s="7" t="s">
        <v>8</v>
      </c>
      <c r="B17" s="7" t="s">
        <v>27</v>
      </c>
      <c r="C17" s="7">
        <v>1</v>
      </c>
      <c r="D17" s="7" t="s">
        <v>45</v>
      </c>
      <c r="E17" s="7" t="s">
        <v>45</v>
      </c>
      <c r="F17" s="14" t="b">
        <f>TRUE()</f>
        <v>1</v>
      </c>
      <c r="G17" s="7" t="s">
        <v>46</v>
      </c>
      <c r="H17" s="7" t="str">
        <f t="shared" si="0"/>
        <v>gpt|with_guideline|1</v>
      </c>
    </row>
    <row r="18" spans="1:8" x14ac:dyDescent="0.2">
      <c r="A18" s="7" t="s">
        <v>8</v>
      </c>
      <c r="B18" s="7" t="s">
        <v>27</v>
      </c>
      <c r="C18" s="7">
        <v>2</v>
      </c>
      <c r="D18" s="7" t="s">
        <v>47</v>
      </c>
      <c r="E18" s="7" t="s">
        <v>47</v>
      </c>
      <c r="F18" s="14" t="b">
        <f>TRUE()</f>
        <v>1</v>
      </c>
      <c r="G18" s="7" t="s">
        <v>48</v>
      </c>
      <c r="H18" s="7" t="str">
        <f t="shared" si="0"/>
        <v>gpt|with_guideline|2</v>
      </c>
    </row>
    <row r="19" spans="1:8" x14ac:dyDescent="0.2">
      <c r="A19" s="7" t="s">
        <v>8</v>
      </c>
      <c r="B19" s="7" t="s">
        <v>27</v>
      </c>
      <c r="C19" s="7">
        <v>11</v>
      </c>
      <c r="D19" s="7" t="s">
        <v>47</v>
      </c>
      <c r="E19" s="7" t="s">
        <v>47</v>
      </c>
      <c r="F19" s="14" t="b">
        <f>TRUE()</f>
        <v>1</v>
      </c>
      <c r="G19" s="7" t="s">
        <v>49</v>
      </c>
      <c r="H19" s="7" t="str">
        <f t="shared" si="0"/>
        <v>gpt|with_guideline|11</v>
      </c>
    </row>
    <row r="20" spans="1:8" x14ac:dyDescent="0.2">
      <c r="A20" s="7" t="s">
        <v>8</v>
      </c>
      <c r="B20" s="7" t="s">
        <v>27</v>
      </c>
      <c r="C20" s="7">
        <v>12</v>
      </c>
      <c r="D20" s="7" t="s">
        <v>50</v>
      </c>
      <c r="E20" s="7" t="s">
        <v>50</v>
      </c>
      <c r="F20" s="14" t="b">
        <f>TRUE()</f>
        <v>1</v>
      </c>
      <c r="G20" s="7" t="s">
        <v>51</v>
      </c>
      <c r="H20" s="7" t="str">
        <f t="shared" si="0"/>
        <v>gpt|with_guideline|12</v>
      </c>
    </row>
    <row r="21" spans="1:8" x14ac:dyDescent="0.2">
      <c r="A21" s="7" t="s">
        <v>8</v>
      </c>
      <c r="B21" s="7" t="s">
        <v>27</v>
      </c>
      <c r="C21" s="7">
        <v>13</v>
      </c>
      <c r="D21" s="7" t="s">
        <v>47</v>
      </c>
      <c r="E21" s="7" t="s">
        <v>47</v>
      </c>
      <c r="F21" s="14" t="b">
        <f>TRUE()</f>
        <v>1</v>
      </c>
      <c r="G21" s="7" t="s">
        <v>52</v>
      </c>
      <c r="H21" s="7" t="str">
        <f t="shared" si="0"/>
        <v>gpt|with_guideline|13</v>
      </c>
    </row>
    <row r="22" spans="1:8" x14ac:dyDescent="0.2">
      <c r="A22" s="7" t="s">
        <v>8</v>
      </c>
      <c r="B22" s="7" t="s">
        <v>27</v>
      </c>
      <c r="C22" s="7">
        <v>14</v>
      </c>
      <c r="D22" s="7" t="s">
        <v>50</v>
      </c>
      <c r="E22" s="7" t="s">
        <v>50</v>
      </c>
      <c r="F22" s="14" t="b">
        <f>TRUE()</f>
        <v>1</v>
      </c>
      <c r="G22" s="7" t="s">
        <v>53</v>
      </c>
      <c r="H22" s="7" t="str">
        <f t="shared" si="0"/>
        <v>gpt|with_guideline|14</v>
      </c>
    </row>
    <row r="23" spans="1:8" x14ac:dyDescent="0.2">
      <c r="A23" s="7" t="s">
        <v>8</v>
      </c>
      <c r="B23" s="7" t="s">
        <v>27</v>
      </c>
      <c r="C23" s="7">
        <v>26</v>
      </c>
      <c r="D23" s="7" t="s">
        <v>50</v>
      </c>
      <c r="E23" s="7" t="s">
        <v>50</v>
      </c>
      <c r="F23" s="14" t="b">
        <f>TRUE()</f>
        <v>1</v>
      </c>
      <c r="G23" s="7" t="s">
        <v>54</v>
      </c>
      <c r="H23" s="7" t="str">
        <f t="shared" si="0"/>
        <v>gpt|with_guideline|26</v>
      </c>
    </row>
    <row r="24" spans="1:8" x14ac:dyDescent="0.2">
      <c r="A24" s="7" t="s">
        <v>8</v>
      </c>
      <c r="B24" s="7" t="s">
        <v>27</v>
      </c>
      <c r="C24" s="7">
        <v>31</v>
      </c>
      <c r="D24" s="7" t="s">
        <v>50</v>
      </c>
      <c r="E24" s="7" t="s">
        <v>50</v>
      </c>
      <c r="F24" s="14" t="b">
        <f>TRUE()</f>
        <v>1</v>
      </c>
      <c r="G24" s="7" t="s">
        <v>55</v>
      </c>
      <c r="H24" s="7" t="str">
        <f t="shared" si="0"/>
        <v>gpt|with_guideline|31</v>
      </c>
    </row>
    <row r="25" spans="1:8" x14ac:dyDescent="0.2">
      <c r="A25" s="7" t="s">
        <v>8</v>
      </c>
      <c r="B25" s="7" t="s">
        <v>27</v>
      </c>
      <c r="C25" s="7">
        <v>33</v>
      </c>
      <c r="D25" s="7" t="s">
        <v>50</v>
      </c>
      <c r="E25" s="7" t="s">
        <v>50</v>
      </c>
      <c r="F25" s="14" t="b">
        <f>TRUE()</f>
        <v>1</v>
      </c>
      <c r="G25" s="7" t="s">
        <v>56</v>
      </c>
      <c r="H25" s="7" t="str">
        <f t="shared" si="0"/>
        <v>gpt|with_guideline|33</v>
      </c>
    </row>
    <row r="26" spans="1:8" x14ac:dyDescent="0.2">
      <c r="A26" s="7" t="s">
        <v>8</v>
      </c>
      <c r="B26" s="7" t="s">
        <v>27</v>
      </c>
      <c r="C26" s="7">
        <v>41</v>
      </c>
      <c r="D26" s="7" t="s">
        <v>57</v>
      </c>
      <c r="E26" s="7" t="s">
        <v>57</v>
      </c>
      <c r="F26" s="14" t="b">
        <f>TRUE()</f>
        <v>1</v>
      </c>
      <c r="G26" s="7" t="s">
        <v>58</v>
      </c>
      <c r="H26" s="7" t="str">
        <f t="shared" si="0"/>
        <v>gpt|with_guideline|41</v>
      </c>
    </row>
    <row r="27" spans="1:8" x14ac:dyDescent="0.2">
      <c r="A27" s="7" t="s">
        <v>8</v>
      </c>
      <c r="B27" s="7" t="s">
        <v>27</v>
      </c>
      <c r="C27" s="7">
        <v>44</v>
      </c>
      <c r="D27" s="7" t="s">
        <v>57</v>
      </c>
      <c r="E27" s="7" t="s">
        <v>57</v>
      </c>
      <c r="F27" s="14" t="b">
        <f>TRUE()</f>
        <v>1</v>
      </c>
      <c r="G27" s="7" t="s">
        <v>59</v>
      </c>
      <c r="H27" s="7" t="str">
        <f t="shared" si="0"/>
        <v>gpt|with_guideline|44</v>
      </c>
    </row>
    <row r="28" spans="1:8" x14ac:dyDescent="0.2">
      <c r="A28" s="7" t="s">
        <v>8</v>
      </c>
      <c r="B28" s="7" t="s">
        <v>27</v>
      </c>
      <c r="C28" s="7">
        <v>45</v>
      </c>
      <c r="D28" s="7" t="s">
        <v>57</v>
      </c>
      <c r="E28" s="7" t="s">
        <v>57</v>
      </c>
      <c r="F28" s="14" t="b">
        <f>TRUE()</f>
        <v>1</v>
      </c>
      <c r="G28" s="7" t="s">
        <v>60</v>
      </c>
      <c r="H28" s="7" t="str">
        <f t="shared" si="0"/>
        <v>gpt|with_guideline|45</v>
      </c>
    </row>
    <row r="29" spans="1:8" x14ac:dyDescent="0.2">
      <c r="A29" s="7" t="s">
        <v>8</v>
      </c>
      <c r="B29" s="7" t="s">
        <v>27</v>
      </c>
      <c r="C29" s="7">
        <v>51</v>
      </c>
      <c r="D29" s="7" t="s">
        <v>61</v>
      </c>
      <c r="E29" s="7" t="s">
        <v>61</v>
      </c>
      <c r="F29" s="14" t="b">
        <f>TRUE()</f>
        <v>1</v>
      </c>
      <c r="G29" s="7" t="s">
        <v>62</v>
      </c>
      <c r="H29" s="7" t="str">
        <f t="shared" si="0"/>
        <v>gpt|with_guideline|51</v>
      </c>
    </row>
    <row r="30" spans="1:8" x14ac:dyDescent="0.2">
      <c r="A30" s="7" t="s">
        <v>8</v>
      </c>
      <c r="B30" s="7" t="s">
        <v>27</v>
      </c>
      <c r="C30" s="7">
        <v>59</v>
      </c>
      <c r="D30" s="7" t="s">
        <v>61</v>
      </c>
      <c r="E30" s="7" t="s">
        <v>61</v>
      </c>
      <c r="F30" s="14" t="b">
        <f>TRUE()</f>
        <v>1</v>
      </c>
      <c r="G30" s="7" t="s">
        <v>63</v>
      </c>
      <c r="H30" s="7" t="str">
        <f t="shared" si="0"/>
        <v>gpt|with_guideline|59</v>
      </c>
    </row>
    <row r="31" spans="1:8" x14ac:dyDescent="0.2">
      <c r="A31" s="7" t="s">
        <v>8</v>
      </c>
      <c r="B31" s="7" t="s">
        <v>27</v>
      </c>
      <c r="C31" s="7">
        <v>56</v>
      </c>
      <c r="D31" s="7" t="s">
        <v>61</v>
      </c>
      <c r="E31" s="7" t="s">
        <v>61</v>
      </c>
      <c r="F31" s="14" t="b">
        <f>TRUE()</f>
        <v>1</v>
      </c>
      <c r="G31" s="7" t="s">
        <v>64</v>
      </c>
      <c r="H31" s="7" t="str">
        <f t="shared" si="0"/>
        <v>gpt|with_guideline|56</v>
      </c>
    </row>
    <row r="32" spans="1:8" x14ac:dyDescent="0.2">
      <c r="A32" s="7" t="s">
        <v>28</v>
      </c>
      <c r="B32" s="7" t="s">
        <v>9</v>
      </c>
      <c r="C32" s="7">
        <v>1</v>
      </c>
      <c r="D32" s="7" t="s">
        <v>45</v>
      </c>
      <c r="E32" s="7" t="s">
        <v>45</v>
      </c>
      <c r="F32" s="14" t="b">
        <f>TRUE()</f>
        <v>1</v>
      </c>
      <c r="G32" s="7" t="s">
        <v>46</v>
      </c>
      <c r="H32" s="7" t="str">
        <f t="shared" si="0"/>
        <v>claude|no_guideline|1</v>
      </c>
    </row>
    <row r="33" spans="1:8" x14ac:dyDescent="0.2">
      <c r="A33" s="7" t="s">
        <v>28</v>
      </c>
      <c r="B33" s="7" t="s">
        <v>9</v>
      </c>
      <c r="C33" s="7">
        <v>2</v>
      </c>
      <c r="D33" s="7" t="s">
        <v>47</v>
      </c>
      <c r="E33" s="7" t="s">
        <v>45</v>
      </c>
      <c r="F33" s="15" t="b">
        <f>FALSE()</f>
        <v>0</v>
      </c>
      <c r="G33" s="7" t="s">
        <v>48</v>
      </c>
      <c r="H33" s="7" t="str">
        <f t="shared" si="0"/>
        <v>claude|no_guideline|2</v>
      </c>
    </row>
    <row r="34" spans="1:8" x14ac:dyDescent="0.2">
      <c r="A34" s="7" t="s">
        <v>28</v>
      </c>
      <c r="B34" s="7" t="s">
        <v>9</v>
      </c>
      <c r="C34" s="7">
        <v>11</v>
      </c>
      <c r="D34" s="7" t="s">
        <v>47</v>
      </c>
      <c r="E34" s="7" t="s">
        <v>45</v>
      </c>
      <c r="F34" s="15" t="b">
        <f>FALSE()</f>
        <v>0</v>
      </c>
      <c r="G34" s="7" t="s">
        <v>49</v>
      </c>
      <c r="H34" s="7" t="str">
        <f t="shared" si="0"/>
        <v>claude|no_guideline|11</v>
      </c>
    </row>
    <row r="35" spans="1:8" x14ac:dyDescent="0.2">
      <c r="A35" s="7" t="s">
        <v>28</v>
      </c>
      <c r="B35" s="7" t="s">
        <v>9</v>
      </c>
      <c r="C35" s="7">
        <v>12</v>
      </c>
      <c r="D35" s="7" t="s">
        <v>50</v>
      </c>
      <c r="E35" s="7" t="s">
        <v>29</v>
      </c>
      <c r="F35" s="15" t="b">
        <f>FALSE()</f>
        <v>0</v>
      </c>
      <c r="G35" s="7" t="s">
        <v>51</v>
      </c>
      <c r="H35" s="7" t="str">
        <f t="shared" si="0"/>
        <v>claude|no_guideline|12</v>
      </c>
    </row>
    <row r="36" spans="1:8" x14ac:dyDescent="0.2">
      <c r="A36" s="7" t="s">
        <v>28</v>
      </c>
      <c r="B36" s="7" t="s">
        <v>9</v>
      </c>
      <c r="C36" s="7">
        <v>13</v>
      </c>
      <c r="D36" s="7" t="s">
        <v>47</v>
      </c>
      <c r="E36" s="7" t="s">
        <v>29</v>
      </c>
      <c r="F36" s="15" t="b">
        <f>FALSE()</f>
        <v>0</v>
      </c>
      <c r="G36" s="7" t="s">
        <v>52</v>
      </c>
      <c r="H36" s="7" t="str">
        <f t="shared" si="0"/>
        <v>claude|no_guideline|13</v>
      </c>
    </row>
    <row r="37" spans="1:8" x14ac:dyDescent="0.2">
      <c r="A37" s="7" t="s">
        <v>28</v>
      </c>
      <c r="B37" s="7" t="s">
        <v>9</v>
      </c>
      <c r="C37" s="7">
        <v>14</v>
      </c>
      <c r="D37" s="7" t="s">
        <v>50</v>
      </c>
      <c r="E37" s="7" t="s">
        <v>29</v>
      </c>
      <c r="F37" s="15" t="b">
        <f>FALSE()</f>
        <v>0</v>
      </c>
      <c r="G37" s="7" t="s">
        <v>53</v>
      </c>
      <c r="H37" s="7" t="str">
        <f t="shared" si="0"/>
        <v>claude|no_guideline|14</v>
      </c>
    </row>
    <row r="38" spans="1:8" x14ac:dyDescent="0.2">
      <c r="A38" s="7" t="s">
        <v>28</v>
      </c>
      <c r="B38" s="7" t="s">
        <v>9</v>
      </c>
      <c r="C38" s="7">
        <v>26</v>
      </c>
      <c r="D38" s="7" t="s">
        <v>50</v>
      </c>
      <c r="E38" s="7" t="s">
        <v>29</v>
      </c>
      <c r="F38" s="15" t="b">
        <f>FALSE()</f>
        <v>0</v>
      </c>
      <c r="G38" s="7" t="s">
        <v>54</v>
      </c>
      <c r="H38" s="7" t="str">
        <f t="shared" si="0"/>
        <v>claude|no_guideline|26</v>
      </c>
    </row>
    <row r="39" spans="1:8" x14ac:dyDescent="0.2">
      <c r="A39" s="7" t="s">
        <v>28</v>
      </c>
      <c r="B39" s="7" t="s">
        <v>9</v>
      </c>
      <c r="C39" s="7">
        <v>31</v>
      </c>
      <c r="D39" s="7" t="s">
        <v>50</v>
      </c>
      <c r="E39" s="7" t="s">
        <v>29</v>
      </c>
      <c r="F39" s="15" t="b">
        <f>FALSE()</f>
        <v>0</v>
      </c>
      <c r="G39" s="7" t="s">
        <v>55</v>
      </c>
      <c r="H39" s="7" t="str">
        <f t="shared" si="0"/>
        <v>claude|no_guideline|31</v>
      </c>
    </row>
    <row r="40" spans="1:8" x14ac:dyDescent="0.2">
      <c r="A40" s="7" t="s">
        <v>28</v>
      </c>
      <c r="B40" s="7" t="s">
        <v>9</v>
      </c>
      <c r="C40" s="7">
        <v>33</v>
      </c>
      <c r="D40" s="7" t="s">
        <v>50</v>
      </c>
      <c r="E40" s="7" t="s">
        <v>29</v>
      </c>
      <c r="F40" s="15" t="b">
        <f>FALSE()</f>
        <v>0</v>
      </c>
      <c r="G40" s="7" t="s">
        <v>56</v>
      </c>
      <c r="H40" s="7" t="str">
        <f t="shared" si="0"/>
        <v>claude|no_guideline|33</v>
      </c>
    </row>
    <row r="41" spans="1:8" x14ac:dyDescent="0.2">
      <c r="A41" s="7" t="s">
        <v>28</v>
      </c>
      <c r="B41" s="7" t="s">
        <v>9</v>
      </c>
      <c r="C41" s="7">
        <v>41</v>
      </c>
      <c r="D41" s="7" t="s">
        <v>57</v>
      </c>
      <c r="E41" s="7" t="s">
        <v>57</v>
      </c>
      <c r="F41" s="14" t="b">
        <f>TRUE()</f>
        <v>1</v>
      </c>
      <c r="G41" s="7" t="s">
        <v>58</v>
      </c>
      <c r="H41" s="7" t="str">
        <f t="shared" si="0"/>
        <v>claude|no_guideline|41</v>
      </c>
    </row>
    <row r="42" spans="1:8" x14ac:dyDescent="0.2">
      <c r="A42" s="7" t="s">
        <v>28</v>
      </c>
      <c r="B42" s="7" t="s">
        <v>9</v>
      </c>
      <c r="C42" s="7">
        <v>44</v>
      </c>
      <c r="D42" s="7" t="s">
        <v>57</v>
      </c>
      <c r="E42" s="7" t="s">
        <v>29</v>
      </c>
      <c r="F42" s="15" t="b">
        <f>FALSE()</f>
        <v>0</v>
      </c>
      <c r="G42" s="7" t="s">
        <v>59</v>
      </c>
      <c r="H42" s="7" t="str">
        <f t="shared" si="0"/>
        <v>claude|no_guideline|44</v>
      </c>
    </row>
    <row r="43" spans="1:8" x14ac:dyDescent="0.2">
      <c r="A43" s="7" t="s">
        <v>28</v>
      </c>
      <c r="B43" s="7" t="s">
        <v>9</v>
      </c>
      <c r="C43" s="7">
        <v>45</v>
      </c>
      <c r="D43" s="7" t="s">
        <v>57</v>
      </c>
      <c r="E43" s="7" t="s">
        <v>29</v>
      </c>
      <c r="F43" s="15" t="b">
        <f>FALSE()</f>
        <v>0</v>
      </c>
      <c r="G43" s="7" t="s">
        <v>60</v>
      </c>
      <c r="H43" s="7" t="str">
        <f t="shared" si="0"/>
        <v>claude|no_guideline|45</v>
      </c>
    </row>
    <row r="44" spans="1:8" x14ac:dyDescent="0.2">
      <c r="A44" s="7" t="s">
        <v>28</v>
      </c>
      <c r="B44" s="7" t="s">
        <v>9</v>
      </c>
      <c r="C44" s="7">
        <v>51</v>
      </c>
      <c r="D44" s="7" t="s">
        <v>61</v>
      </c>
      <c r="E44" s="7" t="s">
        <v>29</v>
      </c>
      <c r="F44" s="15" t="b">
        <f>FALSE()</f>
        <v>0</v>
      </c>
      <c r="G44" s="7" t="s">
        <v>62</v>
      </c>
      <c r="H44" s="7" t="str">
        <f t="shared" si="0"/>
        <v>claude|no_guideline|51</v>
      </c>
    </row>
    <row r="45" spans="1:8" x14ac:dyDescent="0.2">
      <c r="A45" s="7" t="s">
        <v>28</v>
      </c>
      <c r="B45" s="7" t="s">
        <v>9</v>
      </c>
      <c r="C45" s="7">
        <v>59</v>
      </c>
      <c r="D45" s="7" t="s">
        <v>61</v>
      </c>
      <c r="E45" s="7" t="s">
        <v>29</v>
      </c>
      <c r="F45" s="15" t="b">
        <f>FALSE()</f>
        <v>0</v>
      </c>
      <c r="G45" s="7" t="s">
        <v>63</v>
      </c>
      <c r="H45" s="7" t="str">
        <f t="shared" si="0"/>
        <v>claude|no_guideline|59</v>
      </c>
    </row>
    <row r="46" spans="1:8" x14ac:dyDescent="0.2">
      <c r="A46" s="7" t="s">
        <v>28</v>
      </c>
      <c r="B46" s="7" t="s">
        <v>9</v>
      </c>
      <c r="C46" s="7">
        <v>56</v>
      </c>
      <c r="D46" s="7" t="s">
        <v>61</v>
      </c>
      <c r="E46" s="7" t="s">
        <v>29</v>
      </c>
      <c r="F46" s="15" t="b">
        <f>FALSE()</f>
        <v>0</v>
      </c>
      <c r="G46" s="7" t="s">
        <v>64</v>
      </c>
      <c r="H46" s="7" t="str">
        <f t="shared" si="0"/>
        <v>claude|no_guideline|56</v>
      </c>
    </row>
    <row r="47" spans="1:8" x14ac:dyDescent="0.2">
      <c r="A47" s="7" t="s">
        <v>28</v>
      </c>
      <c r="B47" s="7" t="s">
        <v>27</v>
      </c>
      <c r="C47" s="7">
        <v>1</v>
      </c>
      <c r="D47" s="7" t="s">
        <v>45</v>
      </c>
      <c r="E47" s="7" t="s">
        <v>45</v>
      </c>
      <c r="F47" s="14" t="b">
        <f>TRUE()</f>
        <v>1</v>
      </c>
      <c r="G47" s="7" t="s">
        <v>46</v>
      </c>
      <c r="H47" s="7" t="str">
        <f t="shared" si="0"/>
        <v>claude|with_guideline|1</v>
      </c>
    </row>
    <row r="48" spans="1:8" x14ac:dyDescent="0.2">
      <c r="A48" s="7" t="s">
        <v>28</v>
      </c>
      <c r="B48" s="7" t="s">
        <v>27</v>
      </c>
      <c r="C48" s="7">
        <v>2</v>
      </c>
      <c r="D48" s="7" t="s">
        <v>47</v>
      </c>
      <c r="E48" s="7" t="s">
        <v>47</v>
      </c>
      <c r="F48" s="14" t="b">
        <f>TRUE()</f>
        <v>1</v>
      </c>
      <c r="G48" s="7" t="s">
        <v>48</v>
      </c>
      <c r="H48" s="7" t="str">
        <f t="shared" si="0"/>
        <v>claude|with_guideline|2</v>
      </c>
    </row>
    <row r="49" spans="1:8" x14ac:dyDescent="0.2">
      <c r="A49" s="7" t="s">
        <v>28</v>
      </c>
      <c r="B49" s="7" t="s">
        <v>27</v>
      </c>
      <c r="C49" s="7">
        <v>11</v>
      </c>
      <c r="D49" s="7" t="s">
        <v>47</v>
      </c>
      <c r="E49" s="7" t="s">
        <v>47</v>
      </c>
      <c r="F49" s="14" t="b">
        <f>TRUE()</f>
        <v>1</v>
      </c>
      <c r="G49" s="7" t="s">
        <v>49</v>
      </c>
      <c r="H49" s="7" t="str">
        <f t="shared" si="0"/>
        <v>claude|with_guideline|11</v>
      </c>
    </row>
    <row r="50" spans="1:8" x14ac:dyDescent="0.2">
      <c r="A50" s="7" t="s">
        <v>28</v>
      </c>
      <c r="B50" s="7" t="s">
        <v>27</v>
      </c>
      <c r="C50" s="7">
        <v>12</v>
      </c>
      <c r="D50" s="7" t="s">
        <v>50</v>
      </c>
      <c r="E50" s="7" t="s">
        <v>29</v>
      </c>
      <c r="F50" s="15" t="b">
        <f>FALSE()</f>
        <v>0</v>
      </c>
      <c r="G50" s="7" t="s">
        <v>51</v>
      </c>
      <c r="H50" s="7" t="str">
        <f t="shared" si="0"/>
        <v>claude|with_guideline|12</v>
      </c>
    </row>
    <row r="51" spans="1:8" x14ac:dyDescent="0.2">
      <c r="A51" s="7" t="s">
        <v>28</v>
      </c>
      <c r="B51" s="7" t="s">
        <v>27</v>
      </c>
      <c r="C51" s="7">
        <v>13</v>
      </c>
      <c r="D51" s="7" t="s">
        <v>47</v>
      </c>
      <c r="E51" s="7" t="s">
        <v>47</v>
      </c>
      <c r="F51" s="14" t="b">
        <f>TRUE()</f>
        <v>1</v>
      </c>
      <c r="G51" s="7" t="s">
        <v>52</v>
      </c>
      <c r="H51" s="7" t="str">
        <f t="shared" si="0"/>
        <v>claude|with_guideline|13</v>
      </c>
    </row>
    <row r="52" spans="1:8" x14ac:dyDescent="0.2">
      <c r="A52" s="7" t="s">
        <v>28</v>
      </c>
      <c r="B52" s="7" t="s">
        <v>27</v>
      </c>
      <c r="C52" s="7">
        <v>14</v>
      </c>
      <c r="D52" s="7" t="s">
        <v>50</v>
      </c>
      <c r="E52" s="7" t="s">
        <v>29</v>
      </c>
      <c r="F52" s="15" t="b">
        <f>FALSE()</f>
        <v>0</v>
      </c>
      <c r="G52" s="7" t="s">
        <v>53</v>
      </c>
      <c r="H52" s="7" t="str">
        <f t="shared" si="0"/>
        <v>claude|with_guideline|14</v>
      </c>
    </row>
    <row r="53" spans="1:8" x14ac:dyDescent="0.2">
      <c r="A53" s="7" t="s">
        <v>28</v>
      </c>
      <c r="B53" s="7" t="s">
        <v>27</v>
      </c>
      <c r="C53" s="7">
        <v>26</v>
      </c>
      <c r="D53" s="7" t="s">
        <v>50</v>
      </c>
      <c r="E53" s="7" t="s">
        <v>50</v>
      </c>
      <c r="F53" s="14" t="b">
        <f>TRUE()</f>
        <v>1</v>
      </c>
      <c r="G53" s="7" t="s">
        <v>54</v>
      </c>
      <c r="H53" s="7" t="str">
        <f t="shared" si="0"/>
        <v>claude|with_guideline|26</v>
      </c>
    </row>
    <row r="54" spans="1:8" x14ac:dyDescent="0.2">
      <c r="A54" s="7" t="s">
        <v>28</v>
      </c>
      <c r="B54" s="7" t="s">
        <v>27</v>
      </c>
      <c r="C54" s="7">
        <v>31</v>
      </c>
      <c r="D54" s="7" t="s">
        <v>50</v>
      </c>
      <c r="E54" s="7" t="s">
        <v>29</v>
      </c>
      <c r="F54" s="15" t="b">
        <f>FALSE()</f>
        <v>0</v>
      </c>
      <c r="G54" s="7" t="s">
        <v>55</v>
      </c>
      <c r="H54" s="7" t="str">
        <f t="shared" si="0"/>
        <v>claude|with_guideline|31</v>
      </c>
    </row>
    <row r="55" spans="1:8" x14ac:dyDescent="0.2">
      <c r="A55" s="7" t="s">
        <v>28</v>
      </c>
      <c r="B55" s="7" t="s">
        <v>27</v>
      </c>
      <c r="C55" s="7">
        <v>33</v>
      </c>
      <c r="D55" s="7" t="s">
        <v>50</v>
      </c>
      <c r="E55" s="7" t="s">
        <v>50</v>
      </c>
      <c r="F55" s="14" t="b">
        <f>TRUE()</f>
        <v>1</v>
      </c>
      <c r="G55" s="7" t="s">
        <v>56</v>
      </c>
      <c r="H55" s="7" t="str">
        <f t="shared" si="0"/>
        <v>claude|with_guideline|33</v>
      </c>
    </row>
    <row r="56" spans="1:8" x14ac:dyDescent="0.2">
      <c r="A56" s="7" t="s">
        <v>28</v>
      </c>
      <c r="B56" s="7" t="s">
        <v>27</v>
      </c>
      <c r="C56" s="7">
        <v>41</v>
      </c>
      <c r="D56" s="7" t="s">
        <v>57</v>
      </c>
      <c r="E56" s="7" t="s">
        <v>57</v>
      </c>
      <c r="F56" s="14" t="b">
        <f>TRUE()</f>
        <v>1</v>
      </c>
      <c r="G56" s="7" t="s">
        <v>58</v>
      </c>
      <c r="H56" s="7" t="str">
        <f t="shared" si="0"/>
        <v>claude|with_guideline|41</v>
      </c>
    </row>
    <row r="57" spans="1:8" x14ac:dyDescent="0.2">
      <c r="A57" s="7" t="s">
        <v>28</v>
      </c>
      <c r="B57" s="7" t="s">
        <v>27</v>
      </c>
      <c r="C57" s="7">
        <v>44</v>
      </c>
      <c r="D57" s="7" t="s">
        <v>57</v>
      </c>
      <c r="E57" s="7" t="s">
        <v>57</v>
      </c>
      <c r="F57" s="14" t="b">
        <f>TRUE()</f>
        <v>1</v>
      </c>
      <c r="G57" s="7" t="s">
        <v>59</v>
      </c>
      <c r="H57" s="7" t="str">
        <f t="shared" si="0"/>
        <v>claude|with_guideline|44</v>
      </c>
    </row>
    <row r="58" spans="1:8" x14ac:dyDescent="0.2">
      <c r="A58" s="7" t="s">
        <v>28</v>
      </c>
      <c r="B58" s="7" t="s">
        <v>27</v>
      </c>
      <c r="C58" s="7">
        <v>45</v>
      </c>
      <c r="D58" s="7" t="s">
        <v>57</v>
      </c>
      <c r="E58" s="7" t="s">
        <v>29</v>
      </c>
      <c r="F58" s="15" t="b">
        <f>FALSE()</f>
        <v>0</v>
      </c>
      <c r="G58" s="7" t="s">
        <v>60</v>
      </c>
      <c r="H58" s="7" t="str">
        <f t="shared" si="0"/>
        <v>claude|with_guideline|45</v>
      </c>
    </row>
    <row r="59" spans="1:8" x14ac:dyDescent="0.2">
      <c r="A59" s="7" t="s">
        <v>28</v>
      </c>
      <c r="B59" s="7" t="s">
        <v>27</v>
      </c>
      <c r="C59" s="7">
        <v>51</v>
      </c>
      <c r="D59" s="7" t="s">
        <v>61</v>
      </c>
      <c r="E59" s="7" t="s">
        <v>61</v>
      </c>
      <c r="F59" s="14" t="b">
        <f>TRUE()</f>
        <v>1</v>
      </c>
      <c r="G59" s="7" t="s">
        <v>62</v>
      </c>
      <c r="H59" s="7" t="str">
        <f t="shared" si="0"/>
        <v>claude|with_guideline|51</v>
      </c>
    </row>
    <row r="60" spans="1:8" x14ac:dyDescent="0.2">
      <c r="A60" s="7" t="s">
        <v>28</v>
      </c>
      <c r="B60" s="7" t="s">
        <v>27</v>
      </c>
      <c r="C60" s="7">
        <v>59</v>
      </c>
      <c r="D60" s="7" t="s">
        <v>61</v>
      </c>
      <c r="E60" s="7" t="s">
        <v>61</v>
      </c>
      <c r="F60" s="14" t="b">
        <f>TRUE()</f>
        <v>1</v>
      </c>
      <c r="G60" s="7" t="s">
        <v>63</v>
      </c>
      <c r="H60" s="7" t="str">
        <f t="shared" si="0"/>
        <v>claude|with_guideline|59</v>
      </c>
    </row>
    <row r="61" spans="1:8" x14ac:dyDescent="0.2">
      <c r="A61" s="7" t="s">
        <v>28</v>
      </c>
      <c r="B61" s="7" t="s">
        <v>27</v>
      </c>
      <c r="C61" s="7">
        <v>56</v>
      </c>
      <c r="D61" s="7" t="s">
        <v>61</v>
      </c>
      <c r="E61" s="7" t="s">
        <v>29</v>
      </c>
      <c r="F61" s="15" t="b">
        <f>FALSE()</f>
        <v>0</v>
      </c>
      <c r="G61" s="7" t="s">
        <v>64</v>
      </c>
      <c r="H61" s="7" t="str">
        <f t="shared" si="0"/>
        <v>claude|with_guideline|56</v>
      </c>
    </row>
    <row r="62" spans="1:8" x14ac:dyDescent="0.2">
      <c r="A62" s="7" t="s">
        <v>30</v>
      </c>
      <c r="B62" s="7" t="s">
        <v>9</v>
      </c>
      <c r="C62" s="7">
        <v>1</v>
      </c>
      <c r="D62" s="7" t="s">
        <v>45</v>
      </c>
      <c r="E62" s="7" t="s">
        <v>45</v>
      </c>
      <c r="F62" s="14" t="b">
        <f>TRUE()</f>
        <v>1</v>
      </c>
      <c r="G62" s="7" t="s">
        <v>46</v>
      </c>
      <c r="H62" s="7" t="str">
        <f t="shared" si="0"/>
        <v>gemini|no_guideline|1</v>
      </c>
    </row>
    <row r="63" spans="1:8" x14ac:dyDescent="0.2">
      <c r="A63" s="7" t="s">
        <v>30</v>
      </c>
      <c r="B63" s="7" t="s">
        <v>9</v>
      </c>
      <c r="C63" s="7">
        <v>2</v>
      </c>
      <c r="D63" s="7" t="s">
        <v>47</v>
      </c>
      <c r="E63" s="7" t="s">
        <v>45</v>
      </c>
      <c r="F63" s="15" t="b">
        <f>FALSE()</f>
        <v>0</v>
      </c>
      <c r="G63" s="7" t="s">
        <v>48</v>
      </c>
      <c r="H63" s="7" t="str">
        <f t="shared" si="0"/>
        <v>gemini|no_guideline|2</v>
      </c>
    </row>
    <row r="64" spans="1:8" x14ac:dyDescent="0.2">
      <c r="A64" s="7" t="s">
        <v>30</v>
      </c>
      <c r="B64" s="7" t="s">
        <v>9</v>
      </c>
      <c r="C64" s="7">
        <v>11</v>
      </c>
      <c r="D64" s="7" t="s">
        <v>47</v>
      </c>
      <c r="E64" s="7" t="s">
        <v>45</v>
      </c>
      <c r="F64" s="15" t="b">
        <f>FALSE()</f>
        <v>0</v>
      </c>
      <c r="G64" s="7" t="s">
        <v>49</v>
      </c>
      <c r="H64" s="7" t="str">
        <f t="shared" si="0"/>
        <v>gemini|no_guideline|11</v>
      </c>
    </row>
    <row r="65" spans="1:8" x14ac:dyDescent="0.2">
      <c r="A65" s="7" t="s">
        <v>30</v>
      </c>
      <c r="B65" s="7" t="s">
        <v>9</v>
      </c>
      <c r="C65" s="7">
        <v>12</v>
      </c>
      <c r="D65" s="7" t="s">
        <v>50</v>
      </c>
      <c r="E65" s="7" t="s">
        <v>47</v>
      </c>
      <c r="F65" s="15" t="b">
        <f>FALSE()</f>
        <v>0</v>
      </c>
      <c r="G65" s="7" t="s">
        <v>51</v>
      </c>
      <c r="H65" s="7" t="str">
        <f t="shared" si="0"/>
        <v>gemini|no_guideline|12</v>
      </c>
    </row>
    <row r="66" spans="1:8" x14ac:dyDescent="0.2">
      <c r="A66" s="7" t="s">
        <v>30</v>
      </c>
      <c r="B66" s="7" t="s">
        <v>9</v>
      </c>
      <c r="C66" s="7">
        <v>13</v>
      </c>
      <c r="D66" s="7" t="s">
        <v>47</v>
      </c>
      <c r="E66" s="7" t="s">
        <v>45</v>
      </c>
      <c r="F66" s="15" t="b">
        <f>FALSE()</f>
        <v>0</v>
      </c>
      <c r="G66" s="7" t="s">
        <v>52</v>
      </c>
      <c r="H66" s="7" t="str">
        <f t="shared" ref="H66:H121" si="1">A66&amp;"|"&amp;B66&amp;"|"&amp;C66</f>
        <v>gemini|no_guideline|13</v>
      </c>
    </row>
    <row r="67" spans="1:8" x14ac:dyDescent="0.2">
      <c r="A67" s="7" t="s">
        <v>30</v>
      </c>
      <c r="B67" s="7" t="s">
        <v>9</v>
      </c>
      <c r="C67" s="7">
        <v>14</v>
      </c>
      <c r="D67" s="7" t="s">
        <v>50</v>
      </c>
      <c r="E67" s="7" t="s">
        <v>47</v>
      </c>
      <c r="F67" s="15" t="b">
        <f>FALSE()</f>
        <v>0</v>
      </c>
      <c r="G67" s="7" t="s">
        <v>53</v>
      </c>
      <c r="H67" s="7" t="str">
        <f t="shared" si="1"/>
        <v>gemini|no_guideline|14</v>
      </c>
    </row>
    <row r="68" spans="1:8" x14ac:dyDescent="0.2">
      <c r="A68" s="7" t="s">
        <v>30</v>
      </c>
      <c r="B68" s="7" t="s">
        <v>9</v>
      </c>
      <c r="C68" s="7">
        <v>26</v>
      </c>
      <c r="D68" s="7" t="s">
        <v>50</v>
      </c>
      <c r="E68" s="7" t="s">
        <v>50</v>
      </c>
      <c r="F68" s="14" t="b">
        <f>TRUE()</f>
        <v>1</v>
      </c>
      <c r="G68" s="7" t="s">
        <v>54</v>
      </c>
      <c r="H68" s="7" t="str">
        <f t="shared" si="1"/>
        <v>gemini|no_guideline|26</v>
      </c>
    </row>
    <row r="69" spans="1:8" x14ac:dyDescent="0.2">
      <c r="A69" s="7" t="s">
        <v>30</v>
      </c>
      <c r="B69" s="7" t="s">
        <v>9</v>
      </c>
      <c r="C69" s="7">
        <v>31</v>
      </c>
      <c r="D69" s="7" t="s">
        <v>50</v>
      </c>
      <c r="E69" s="7" t="s">
        <v>47</v>
      </c>
      <c r="F69" s="15" t="b">
        <f>FALSE()</f>
        <v>0</v>
      </c>
      <c r="G69" s="7" t="s">
        <v>55</v>
      </c>
      <c r="H69" s="7" t="str">
        <f t="shared" si="1"/>
        <v>gemini|no_guideline|31</v>
      </c>
    </row>
    <row r="70" spans="1:8" x14ac:dyDescent="0.2">
      <c r="A70" s="7" t="s">
        <v>30</v>
      </c>
      <c r="B70" s="7" t="s">
        <v>9</v>
      </c>
      <c r="C70" s="7">
        <v>33</v>
      </c>
      <c r="D70" s="7" t="s">
        <v>50</v>
      </c>
      <c r="E70" s="7" t="s">
        <v>50</v>
      </c>
      <c r="F70" s="14" t="b">
        <f>TRUE()</f>
        <v>1</v>
      </c>
      <c r="G70" s="7" t="s">
        <v>56</v>
      </c>
      <c r="H70" s="7" t="str">
        <f t="shared" si="1"/>
        <v>gemini|no_guideline|33</v>
      </c>
    </row>
    <row r="71" spans="1:8" x14ac:dyDescent="0.2">
      <c r="A71" s="7" t="s">
        <v>30</v>
      </c>
      <c r="B71" s="7" t="s">
        <v>9</v>
      </c>
      <c r="C71" s="7">
        <v>41</v>
      </c>
      <c r="D71" s="7" t="s">
        <v>57</v>
      </c>
      <c r="E71" s="7" t="s">
        <v>57</v>
      </c>
      <c r="F71" s="14" t="b">
        <f>TRUE()</f>
        <v>1</v>
      </c>
      <c r="G71" s="7" t="s">
        <v>58</v>
      </c>
      <c r="H71" s="7" t="str">
        <f t="shared" si="1"/>
        <v>gemini|no_guideline|41</v>
      </c>
    </row>
    <row r="72" spans="1:8" x14ac:dyDescent="0.2">
      <c r="A72" s="7" t="s">
        <v>30</v>
      </c>
      <c r="B72" s="7" t="s">
        <v>9</v>
      </c>
      <c r="C72" s="7">
        <v>44</v>
      </c>
      <c r="D72" s="7" t="s">
        <v>57</v>
      </c>
      <c r="E72" s="7" t="s">
        <v>57</v>
      </c>
      <c r="F72" s="14" t="b">
        <f>TRUE()</f>
        <v>1</v>
      </c>
      <c r="G72" s="7" t="s">
        <v>59</v>
      </c>
      <c r="H72" s="7" t="str">
        <f t="shared" si="1"/>
        <v>gemini|no_guideline|44</v>
      </c>
    </row>
    <row r="73" spans="1:8" x14ac:dyDescent="0.2">
      <c r="A73" s="7" t="s">
        <v>30</v>
      </c>
      <c r="B73" s="7" t="s">
        <v>9</v>
      </c>
      <c r="C73" s="7">
        <v>45</v>
      </c>
      <c r="D73" s="7" t="s">
        <v>57</v>
      </c>
      <c r="E73" s="7" t="s">
        <v>57</v>
      </c>
      <c r="F73" s="14" t="b">
        <f>TRUE()</f>
        <v>1</v>
      </c>
      <c r="G73" s="7" t="s">
        <v>60</v>
      </c>
      <c r="H73" s="7" t="str">
        <f t="shared" si="1"/>
        <v>gemini|no_guideline|45</v>
      </c>
    </row>
    <row r="74" spans="1:8" x14ac:dyDescent="0.2">
      <c r="A74" s="7" t="s">
        <v>30</v>
      </c>
      <c r="B74" s="7" t="s">
        <v>9</v>
      </c>
      <c r="C74" s="7">
        <v>51</v>
      </c>
      <c r="D74" s="7" t="s">
        <v>61</v>
      </c>
      <c r="E74" s="7" t="s">
        <v>57</v>
      </c>
      <c r="F74" s="15" t="b">
        <f>FALSE()</f>
        <v>0</v>
      </c>
      <c r="G74" s="7" t="s">
        <v>62</v>
      </c>
      <c r="H74" s="7" t="str">
        <f t="shared" si="1"/>
        <v>gemini|no_guideline|51</v>
      </c>
    </row>
    <row r="75" spans="1:8" x14ac:dyDescent="0.2">
      <c r="A75" s="7" t="s">
        <v>30</v>
      </c>
      <c r="B75" s="7" t="s">
        <v>9</v>
      </c>
      <c r="C75" s="7">
        <v>59</v>
      </c>
      <c r="D75" s="7" t="s">
        <v>61</v>
      </c>
      <c r="E75" s="7" t="s">
        <v>57</v>
      </c>
      <c r="F75" s="15" t="b">
        <f>FALSE()</f>
        <v>0</v>
      </c>
      <c r="G75" s="7" t="s">
        <v>63</v>
      </c>
      <c r="H75" s="7" t="str">
        <f t="shared" si="1"/>
        <v>gemini|no_guideline|59</v>
      </c>
    </row>
    <row r="76" spans="1:8" x14ac:dyDescent="0.2">
      <c r="A76" s="7" t="s">
        <v>30</v>
      </c>
      <c r="B76" s="7" t="s">
        <v>9</v>
      </c>
      <c r="C76" s="7">
        <v>56</v>
      </c>
      <c r="D76" s="7" t="s">
        <v>61</v>
      </c>
      <c r="E76" s="7" t="s">
        <v>57</v>
      </c>
      <c r="F76" s="15" t="b">
        <f>FALSE()</f>
        <v>0</v>
      </c>
      <c r="G76" s="7" t="s">
        <v>64</v>
      </c>
      <c r="H76" s="7" t="str">
        <f t="shared" si="1"/>
        <v>gemini|no_guideline|56</v>
      </c>
    </row>
    <row r="77" spans="1:8" x14ac:dyDescent="0.2">
      <c r="A77" s="7" t="s">
        <v>30</v>
      </c>
      <c r="B77" s="7" t="s">
        <v>27</v>
      </c>
      <c r="C77" s="7">
        <v>1</v>
      </c>
      <c r="D77" s="7" t="s">
        <v>45</v>
      </c>
      <c r="E77" s="7" t="s">
        <v>45</v>
      </c>
      <c r="F77" s="14" t="b">
        <f>TRUE()</f>
        <v>1</v>
      </c>
      <c r="G77" s="7" t="s">
        <v>46</v>
      </c>
      <c r="H77" s="7" t="str">
        <f t="shared" si="1"/>
        <v>gemini|with_guideline|1</v>
      </c>
    </row>
    <row r="78" spans="1:8" x14ac:dyDescent="0.2">
      <c r="A78" s="7" t="s">
        <v>30</v>
      </c>
      <c r="B78" s="7" t="s">
        <v>27</v>
      </c>
      <c r="C78" s="7">
        <v>2</v>
      </c>
      <c r="D78" s="7" t="s">
        <v>47</v>
      </c>
      <c r="E78" s="7" t="s">
        <v>47</v>
      </c>
      <c r="F78" s="14" t="b">
        <f>TRUE()</f>
        <v>1</v>
      </c>
      <c r="G78" s="7" t="s">
        <v>48</v>
      </c>
      <c r="H78" s="7" t="str">
        <f t="shared" si="1"/>
        <v>gemini|with_guideline|2</v>
      </c>
    </row>
    <row r="79" spans="1:8" x14ac:dyDescent="0.2">
      <c r="A79" s="7" t="s">
        <v>30</v>
      </c>
      <c r="B79" s="7" t="s">
        <v>27</v>
      </c>
      <c r="C79" s="7">
        <v>11</v>
      </c>
      <c r="D79" s="7" t="s">
        <v>47</v>
      </c>
      <c r="E79" s="7" t="s">
        <v>47</v>
      </c>
      <c r="F79" s="14" t="b">
        <f>TRUE()</f>
        <v>1</v>
      </c>
      <c r="G79" s="7" t="s">
        <v>49</v>
      </c>
      <c r="H79" s="7" t="str">
        <f t="shared" si="1"/>
        <v>gemini|with_guideline|11</v>
      </c>
    </row>
    <row r="80" spans="1:8" x14ac:dyDescent="0.2">
      <c r="A80" s="7" t="s">
        <v>30</v>
      </c>
      <c r="B80" s="7" t="s">
        <v>27</v>
      </c>
      <c r="C80" s="7">
        <v>12</v>
      </c>
      <c r="D80" s="7" t="s">
        <v>50</v>
      </c>
      <c r="E80" s="7" t="s">
        <v>50</v>
      </c>
      <c r="F80" s="14" t="b">
        <f>TRUE()</f>
        <v>1</v>
      </c>
      <c r="G80" s="7" t="s">
        <v>51</v>
      </c>
      <c r="H80" s="7" t="str">
        <f t="shared" si="1"/>
        <v>gemini|with_guideline|12</v>
      </c>
    </row>
    <row r="81" spans="1:8" x14ac:dyDescent="0.2">
      <c r="A81" s="7" t="s">
        <v>30</v>
      </c>
      <c r="B81" s="7" t="s">
        <v>27</v>
      </c>
      <c r="C81" s="7">
        <v>13</v>
      </c>
      <c r="D81" s="7" t="s">
        <v>47</v>
      </c>
      <c r="E81" s="7" t="s">
        <v>47</v>
      </c>
      <c r="F81" s="14" t="b">
        <f>TRUE()</f>
        <v>1</v>
      </c>
      <c r="G81" s="7" t="s">
        <v>52</v>
      </c>
      <c r="H81" s="7" t="str">
        <f t="shared" si="1"/>
        <v>gemini|with_guideline|13</v>
      </c>
    </row>
    <row r="82" spans="1:8" x14ac:dyDescent="0.2">
      <c r="A82" s="7" t="s">
        <v>30</v>
      </c>
      <c r="B82" s="7" t="s">
        <v>27</v>
      </c>
      <c r="C82" s="7">
        <v>14</v>
      </c>
      <c r="D82" s="7" t="s">
        <v>50</v>
      </c>
      <c r="E82" s="7" t="s">
        <v>50</v>
      </c>
      <c r="F82" s="14" t="b">
        <f>TRUE()</f>
        <v>1</v>
      </c>
      <c r="G82" s="7" t="s">
        <v>53</v>
      </c>
      <c r="H82" s="7" t="str">
        <f t="shared" si="1"/>
        <v>gemini|with_guideline|14</v>
      </c>
    </row>
    <row r="83" spans="1:8" x14ac:dyDescent="0.2">
      <c r="A83" s="7" t="s">
        <v>30</v>
      </c>
      <c r="B83" s="7" t="s">
        <v>27</v>
      </c>
      <c r="C83" s="7">
        <v>26</v>
      </c>
      <c r="D83" s="7" t="s">
        <v>50</v>
      </c>
      <c r="E83" s="7" t="s">
        <v>50</v>
      </c>
      <c r="F83" s="14" t="b">
        <f>TRUE()</f>
        <v>1</v>
      </c>
      <c r="G83" s="7" t="s">
        <v>54</v>
      </c>
      <c r="H83" s="7" t="str">
        <f t="shared" si="1"/>
        <v>gemini|with_guideline|26</v>
      </c>
    </row>
    <row r="84" spans="1:8" x14ac:dyDescent="0.2">
      <c r="A84" s="7" t="s">
        <v>30</v>
      </c>
      <c r="B84" s="7" t="s">
        <v>27</v>
      </c>
      <c r="C84" s="7">
        <v>31</v>
      </c>
      <c r="D84" s="7" t="s">
        <v>50</v>
      </c>
      <c r="E84" s="7" t="s">
        <v>50</v>
      </c>
      <c r="F84" s="14" t="b">
        <f>TRUE()</f>
        <v>1</v>
      </c>
      <c r="G84" s="7" t="s">
        <v>55</v>
      </c>
      <c r="H84" s="7" t="str">
        <f t="shared" si="1"/>
        <v>gemini|with_guideline|31</v>
      </c>
    </row>
    <row r="85" spans="1:8" x14ac:dyDescent="0.2">
      <c r="A85" s="7" t="s">
        <v>30</v>
      </c>
      <c r="B85" s="7" t="s">
        <v>27</v>
      </c>
      <c r="C85" s="7">
        <v>33</v>
      </c>
      <c r="D85" s="7" t="s">
        <v>50</v>
      </c>
      <c r="E85" s="7" t="s">
        <v>50</v>
      </c>
      <c r="F85" s="14" t="b">
        <f>TRUE()</f>
        <v>1</v>
      </c>
      <c r="G85" s="7" t="s">
        <v>56</v>
      </c>
      <c r="H85" s="7" t="str">
        <f t="shared" si="1"/>
        <v>gemini|with_guideline|33</v>
      </c>
    </row>
    <row r="86" spans="1:8" x14ac:dyDescent="0.2">
      <c r="A86" s="7" t="s">
        <v>30</v>
      </c>
      <c r="B86" s="7" t="s">
        <v>27</v>
      </c>
      <c r="C86" s="7">
        <v>41</v>
      </c>
      <c r="D86" s="7" t="s">
        <v>57</v>
      </c>
      <c r="E86" s="7" t="s">
        <v>57</v>
      </c>
      <c r="F86" s="14" t="b">
        <f>TRUE()</f>
        <v>1</v>
      </c>
      <c r="G86" s="7" t="s">
        <v>58</v>
      </c>
      <c r="H86" s="7" t="str">
        <f t="shared" si="1"/>
        <v>gemini|with_guideline|41</v>
      </c>
    </row>
    <row r="87" spans="1:8" x14ac:dyDescent="0.2">
      <c r="A87" s="7" t="s">
        <v>30</v>
      </c>
      <c r="B87" s="7" t="s">
        <v>27</v>
      </c>
      <c r="C87" s="7">
        <v>44</v>
      </c>
      <c r="D87" s="7" t="s">
        <v>57</v>
      </c>
      <c r="E87" s="7" t="s">
        <v>57</v>
      </c>
      <c r="F87" s="14" t="b">
        <f>TRUE()</f>
        <v>1</v>
      </c>
      <c r="G87" s="7" t="s">
        <v>59</v>
      </c>
      <c r="H87" s="7" t="str">
        <f t="shared" si="1"/>
        <v>gemini|with_guideline|44</v>
      </c>
    </row>
    <row r="88" spans="1:8" x14ac:dyDescent="0.2">
      <c r="A88" s="7" t="s">
        <v>30</v>
      </c>
      <c r="B88" s="7" t="s">
        <v>27</v>
      </c>
      <c r="C88" s="7">
        <v>45</v>
      </c>
      <c r="D88" s="7" t="s">
        <v>57</v>
      </c>
      <c r="E88" s="7" t="s">
        <v>57</v>
      </c>
      <c r="F88" s="14" t="b">
        <f>TRUE()</f>
        <v>1</v>
      </c>
      <c r="G88" s="7" t="s">
        <v>60</v>
      </c>
      <c r="H88" s="7" t="str">
        <f t="shared" si="1"/>
        <v>gemini|with_guideline|45</v>
      </c>
    </row>
    <row r="89" spans="1:8" x14ac:dyDescent="0.2">
      <c r="A89" s="7" t="s">
        <v>30</v>
      </c>
      <c r="B89" s="7" t="s">
        <v>27</v>
      </c>
      <c r="C89" s="7">
        <v>51</v>
      </c>
      <c r="D89" s="7" t="s">
        <v>61</v>
      </c>
      <c r="E89" s="7" t="s">
        <v>61</v>
      </c>
      <c r="F89" s="14" t="b">
        <f>TRUE()</f>
        <v>1</v>
      </c>
      <c r="G89" s="7" t="s">
        <v>62</v>
      </c>
      <c r="H89" s="7" t="str">
        <f t="shared" si="1"/>
        <v>gemini|with_guideline|51</v>
      </c>
    </row>
    <row r="90" spans="1:8" x14ac:dyDescent="0.2">
      <c r="A90" s="7" t="s">
        <v>30</v>
      </c>
      <c r="B90" s="7" t="s">
        <v>27</v>
      </c>
      <c r="C90" s="7">
        <v>59</v>
      </c>
      <c r="D90" s="7" t="s">
        <v>61</v>
      </c>
      <c r="E90" s="7" t="s">
        <v>61</v>
      </c>
      <c r="F90" s="14" t="b">
        <f>TRUE()</f>
        <v>1</v>
      </c>
      <c r="G90" s="7" t="s">
        <v>63</v>
      </c>
      <c r="H90" s="7" t="str">
        <f t="shared" si="1"/>
        <v>gemini|with_guideline|59</v>
      </c>
    </row>
    <row r="91" spans="1:8" x14ac:dyDescent="0.2">
      <c r="A91" s="7" t="s">
        <v>30</v>
      </c>
      <c r="B91" s="7" t="s">
        <v>27</v>
      </c>
      <c r="C91" s="7">
        <v>56</v>
      </c>
      <c r="D91" s="7" t="s">
        <v>61</v>
      </c>
      <c r="E91" s="7" t="s">
        <v>61</v>
      </c>
      <c r="F91" s="14" t="b">
        <f>TRUE()</f>
        <v>1</v>
      </c>
      <c r="G91" s="7" t="s">
        <v>64</v>
      </c>
      <c r="H91" s="7" t="str">
        <f t="shared" si="1"/>
        <v>gemini|with_guideline|56</v>
      </c>
    </row>
    <row r="92" spans="1:8" x14ac:dyDescent="0.2">
      <c r="A92" s="7" t="s">
        <v>31</v>
      </c>
      <c r="B92" s="7" t="s">
        <v>9</v>
      </c>
      <c r="C92" s="7">
        <v>1</v>
      </c>
      <c r="D92" s="7" t="s">
        <v>45</v>
      </c>
      <c r="E92" s="7" t="s">
        <v>45</v>
      </c>
      <c r="F92" s="14" t="b">
        <f>TRUE()</f>
        <v>1</v>
      </c>
      <c r="G92" s="7" t="s">
        <v>46</v>
      </c>
      <c r="H92" s="7" t="str">
        <f t="shared" si="1"/>
        <v>llama|no_guideline|1</v>
      </c>
    </row>
    <row r="93" spans="1:8" x14ac:dyDescent="0.2">
      <c r="A93" s="7" t="s">
        <v>31</v>
      </c>
      <c r="B93" s="7" t="s">
        <v>9</v>
      </c>
      <c r="C93" s="7">
        <v>2</v>
      </c>
      <c r="D93" s="7" t="s">
        <v>47</v>
      </c>
      <c r="E93" s="7" t="s">
        <v>45</v>
      </c>
      <c r="F93" s="15" t="b">
        <f>FALSE()</f>
        <v>0</v>
      </c>
      <c r="G93" s="7" t="s">
        <v>48</v>
      </c>
      <c r="H93" s="7" t="str">
        <f t="shared" si="1"/>
        <v>llama|no_guideline|2</v>
      </c>
    </row>
    <row r="94" spans="1:8" x14ac:dyDescent="0.2">
      <c r="A94" s="7" t="s">
        <v>31</v>
      </c>
      <c r="B94" s="7" t="s">
        <v>9</v>
      </c>
      <c r="C94" s="7">
        <v>11</v>
      </c>
      <c r="D94" s="7" t="s">
        <v>47</v>
      </c>
      <c r="E94" s="7" t="s">
        <v>45</v>
      </c>
      <c r="F94" s="15" t="b">
        <f>FALSE()</f>
        <v>0</v>
      </c>
      <c r="G94" s="7" t="s">
        <v>49</v>
      </c>
      <c r="H94" s="7" t="str">
        <f t="shared" si="1"/>
        <v>llama|no_guideline|11</v>
      </c>
    </row>
    <row r="95" spans="1:8" x14ac:dyDescent="0.2">
      <c r="A95" s="7" t="s">
        <v>31</v>
      </c>
      <c r="B95" s="7" t="s">
        <v>9</v>
      </c>
      <c r="C95" s="7">
        <v>12</v>
      </c>
      <c r="D95" s="7" t="s">
        <v>50</v>
      </c>
      <c r="E95" s="7" t="s">
        <v>47</v>
      </c>
      <c r="F95" s="15" t="b">
        <f>FALSE()</f>
        <v>0</v>
      </c>
      <c r="G95" s="7" t="s">
        <v>51</v>
      </c>
      <c r="H95" s="7" t="str">
        <f t="shared" si="1"/>
        <v>llama|no_guideline|12</v>
      </c>
    </row>
    <row r="96" spans="1:8" x14ac:dyDescent="0.2">
      <c r="A96" s="7" t="s">
        <v>31</v>
      </c>
      <c r="B96" s="7" t="s">
        <v>9</v>
      </c>
      <c r="C96" s="7">
        <v>13</v>
      </c>
      <c r="D96" s="7" t="s">
        <v>47</v>
      </c>
      <c r="E96" s="7" t="s">
        <v>45</v>
      </c>
      <c r="F96" s="15" t="b">
        <f>FALSE()</f>
        <v>0</v>
      </c>
      <c r="G96" s="7" t="s">
        <v>52</v>
      </c>
      <c r="H96" s="7" t="str">
        <f t="shared" si="1"/>
        <v>llama|no_guideline|13</v>
      </c>
    </row>
    <row r="97" spans="1:8" x14ac:dyDescent="0.2">
      <c r="A97" s="7" t="s">
        <v>31</v>
      </c>
      <c r="B97" s="7" t="s">
        <v>9</v>
      </c>
      <c r="C97" s="7">
        <v>14</v>
      </c>
      <c r="D97" s="7" t="s">
        <v>50</v>
      </c>
      <c r="E97" s="7" t="s">
        <v>47</v>
      </c>
      <c r="F97" s="15" t="b">
        <f>FALSE()</f>
        <v>0</v>
      </c>
      <c r="G97" s="7" t="s">
        <v>53</v>
      </c>
      <c r="H97" s="7" t="str">
        <f t="shared" si="1"/>
        <v>llama|no_guideline|14</v>
      </c>
    </row>
    <row r="98" spans="1:8" x14ac:dyDescent="0.2">
      <c r="A98" s="7" t="s">
        <v>31</v>
      </c>
      <c r="B98" s="7" t="s">
        <v>9</v>
      </c>
      <c r="C98" s="7">
        <v>26</v>
      </c>
      <c r="D98" s="7" t="s">
        <v>50</v>
      </c>
      <c r="E98" s="7" t="s">
        <v>50</v>
      </c>
      <c r="F98" s="14" t="b">
        <f>TRUE()</f>
        <v>1</v>
      </c>
      <c r="G98" s="7" t="s">
        <v>54</v>
      </c>
      <c r="H98" s="7" t="str">
        <f t="shared" si="1"/>
        <v>llama|no_guideline|26</v>
      </c>
    </row>
    <row r="99" spans="1:8" x14ac:dyDescent="0.2">
      <c r="A99" s="7" t="s">
        <v>31</v>
      </c>
      <c r="B99" s="7" t="s">
        <v>9</v>
      </c>
      <c r="C99" s="7">
        <v>31</v>
      </c>
      <c r="D99" s="7" t="s">
        <v>50</v>
      </c>
      <c r="E99" s="7" t="s">
        <v>29</v>
      </c>
      <c r="F99" s="15" t="b">
        <f>FALSE()</f>
        <v>0</v>
      </c>
      <c r="G99" s="7" t="s">
        <v>55</v>
      </c>
      <c r="H99" s="7" t="str">
        <f t="shared" si="1"/>
        <v>llama|no_guideline|31</v>
      </c>
    </row>
    <row r="100" spans="1:8" x14ac:dyDescent="0.2">
      <c r="A100" s="7" t="s">
        <v>31</v>
      </c>
      <c r="B100" s="7" t="s">
        <v>9</v>
      </c>
      <c r="C100" s="7">
        <v>33</v>
      </c>
      <c r="D100" s="7" t="s">
        <v>50</v>
      </c>
      <c r="E100" s="7" t="s">
        <v>29</v>
      </c>
      <c r="F100" s="15" t="b">
        <f>FALSE()</f>
        <v>0</v>
      </c>
      <c r="G100" s="7" t="s">
        <v>56</v>
      </c>
      <c r="H100" s="7" t="str">
        <f t="shared" si="1"/>
        <v>llama|no_guideline|33</v>
      </c>
    </row>
    <row r="101" spans="1:8" x14ac:dyDescent="0.2">
      <c r="A101" s="7" t="s">
        <v>31</v>
      </c>
      <c r="B101" s="7" t="s">
        <v>9</v>
      </c>
      <c r="C101" s="7">
        <v>41</v>
      </c>
      <c r="D101" s="7" t="s">
        <v>57</v>
      </c>
      <c r="E101" s="7" t="s">
        <v>57</v>
      </c>
      <c r="F101" s="14" t="b">
        <f>TRUE()</f>
        <v>1</v>
      </c>
      <c r="G101" s="7" t="s">
        <v>58</v>
      </c>
      <c r="H101" s="7" t="str">
        <f t="shared" si="1"/>
        <v>llama|no_guideline|41</v>
      </c>
    </row>
    <row r="102" spans="1:8" x14ac:dyDescent="0.2">
      <c r="A102" s="7" t="s">
        <v>31</v>
      </c>
      <c r="B102" s="7" t="s">
        <v>9</v>
      </c>
      <c r="C102" s="7">
        <v>44</v>
      </c>
      <c r="D102" s="7" t="s">
        <v>57</v>
      </c>
      <c r="E102" s="7" t="s">
        <v>57</v>
      </c>
      <c r="F102" s="14" t="b">
        <f>TRUE()</f>
        <v>1</v>
      </c>
      <c r="G102" s="7" t="s">
        <v>59</v>
      </c>
      <c r="H102" s="7" t="str">
        <f t="shared" si="1"/>
        <v>llama|no_guideline|44</v>
      </c>
    </row>
    <row r="103" spans="1:8" x14ac:dyDescent="0.2">
      <c r="A103" s="7" t="s">
        <v>31</v>
      </c>
      <c r="B103" s="7" t="s">
        <v>9</v>
      </c>
      <c r="C103" s="7">
        <v>45</v>
      </c>
      <c r="D103" s="7" t="s">
        <v>57</v>
      </c>
      <c r="E103" s="7" t="s">
        <v>29</v>
      </c>
      <c r="F103" s="15" t="b">
        <f>FALSE()</f>
        <v>0</v>
      </c>
      <c r="G103" s="7" t="s">
        <v>60</v>
      </c>
      <c r="H103" s="7" t="str">
        <f t="shared" si="1"/>
        <v>llama|no_guideline|45</v>
      </c>
    </row>
    <row r="104" spans="1:8" x14ac:dyDescent="0.2">
      <c r="A104" s="7" t="s">
        <v>31</v>
      </c>
      <c r="B104" s="7" t="s">
        <v>9</v>
      </c>
      <c r="C104" s="7">
        <v>51</v>
      </c>
      <c r="D104" s="7" t="s">
        <v>61</v>
      </c>
      <c r="E104" s="7" t="s">
        <v>57</v>
      </c>
      <c r="F104" s="15" t="b">
        <f>FALSE()</f>
        <v>0</v>
      </c>
      <c r="G104" s="7" t="s">
        <v>62</v>
      </c>
      <c r="H104" s="7" t="str">
        <f t="shared" si="1"/>
        <v>llama|no_guideline|51</v>
      </c>
    </row>
    <row r="105" spans="1:8" x14ac:dyDescent="0.2">
      <c r="A105" s="7" t="s">
        <v>31</v>
      </c>
      <c r="B105" s="7" t="s">
        <v>9</v>
      </c>
      <c r="C105" s="7">
        <v>59</v>
      </c>
      <c r="D105" s="7" t="s">
        <v>61</v>
      </c>
      <c r="E105" s="7" t="s">
        <v>57</v>
      </c>
      <c r="F105" s="15" t="b">
        <f>FALSE()</f>
        <v>0</v>
      </c>
      <c r="G105" s="7" t="s">
        <v>63</v>
      </c>
      <c r="H105" s="7" t="str">
        <f t="shared" si="1"/>
        <v>llama|no_guideline|59</v>
      </c>
    </row>
    <row r="106" spans="1:8" x14ac:dyDescent="0.2">
      <c r="A106" s="7" t="s">
        <v>31</v>
      </c>
      <c r="B106" s="7" t="s">
        <v>9</v>
      </c>
      <c r="C106" s="7">
        <v>56</v>
      </c>
      <c r="D106" s="7" t="s">
        <v>61</v>
      </c>
      <c r="E106" s="7" t="s">
        <v>57</v>
      </c>
      <c r="F106" s="15" t="b">
        <f>FALSE()</f>
        <v>0</v>
      </c>
      <c r="G106" s="7" t="s">
        <v>64</v>
      </c>
      <c r="H106" s="7" t="str">
        <f t="shared" si="1"/>
        <v>llama|no_guideline|56</v>
      </c>
    </row>
    <row r="107" spans="1:8" x14ac:dyDescent="0.2">
      <c r="A107" s="7" t="s">
        <v>31</v>
      </c>
      <c r="B107" s="7" t="s">
        <v>27</v>
      </c>
      <c r="C107" s="7">
        <v>1</v>
      </c>
      <c r="D107" s="7" t="s">
        <v>45</v>
      </c>
      <c r="E107" s="7" t="s">
        <v>29</v>
      </c>
      <c r="F107" s="15" t="b">
        <f>FALSE()</f>
        <v>0</v>
      </c>
      <c r="G107" s="7" t="s">
        <v>46</v>
      </c>
      <c r="H107" s="7" t="str">
        <f t="shared" si="1"/>
        <v>llama|with_guideline|1</v>
      </c>
    </row>
    <row r="108" spans="1:8" x14ac:dyDescent="0.2">
      <c r="A108" s="7" t="s">
        <v>31</v>
      </c>
      <c r="B108" s="7" t="s">
        <v>27</v>
      </c>
      <c r="C108" s="7">
        <v>2</v>
      </c>
      <c r="D108" s="7" t="s">
        <v>47</v>
      </c>
      <c r="E108" s="7" t="s">
        <v>29</v>
      </c>
      <c r="F108" s="15" t="b">
        <f>FALSE()</f>
        <v>0</v>
      </c>
      <c r="G108" s="7" t="s">
        <v>48</v>
      </c>
      <c r="H108" s="7" t="str">
        <f t="shared" si="1"/>
        <v>llama|with_guideline|2</v>
      </c>
    </row>
    <row r="109" spans="1:8" x14ac:dyDescent="0.2">
      <c r="A109" s="7" t="s">
        <v>31</v>
      </c>
      <c r="B109" s="7" t="s">
        <v>27</v>
      </c>
      <c r="C109" s="7">
        <v>11</v>
      </c>
      <c r="D109" s="7" t="s">
        <v>47</v>
      </c>
      <c r="E109" s="7" t="s">
        <v>29</v>
      </c>
      <c r="F109" s="15" t="b">
        <f>FALSE()</f>
        <v>0</v>
      </c>
      <c r="G109" s="7" t="s">
        <v>49</v>
      </c>
      <c r="H109" s="7" t="str">
        <f t="shared" si="1"/>
        <v>llama|with_guideline|11</v>
      </c>
    </row>
    <row r="110" spans="1:8" x14ac:dyDescent="0.2">
      <c r="A110" s="7" t="s">
        <v>31</v>
      </c>
      <c r="B110" s="7" t="s">
        <v>27</v>
      </c>
      <c r="C110" s="7">
        <v>12</v>
      </c>
      <c r="D110" s="7" t="s">
        <v>50</v>
      </c>
      <c r="E110" s="7" t="s">
        <v>29</v>
      </c>
      <c r="F110" s="15" t="b">
        <f>FALSE()</f>
        <v>0</v>
      </c>
      <c r="G110" s="7" t="s">
        <v>51</v>
      </c>
      <c r="H110" s="7" t="str">
        <f t="shared" si="1"/>
        <v>llama|with_guideline|12</v>
      </c>
    </row>
    <row r="111" spans="1:8" x14ac:dyDescent="0.2">
      <c r="A111" s="7" t="s">
        <v>31</v>
      </c>
      <c r="B111" s="7" t="s">
        <v>27</v>
      </c>
      <c r="C111" s="7">
        <v>13</v>
      </c>
      <c r="D111" s="7" t="s">
        <v>47</v>
      </c>
      <c r="E111" s="7" t="s">
        <v>29</v>
      </c>
      <c r="F111" s="15" t="b">
        <f>FALSE()</f>
        <v>0</v>
      </c>
      <c r="G111" s="7" t="s">
        <v>52</v>
      </c>
      <c r="H111" s="7" t="str">
        <f t="shared" si="1"/>
        <v>llama|with_guideline|13</v>
      </c>
    </row>
    <row r="112" spans="1:8" x14ac:dyDescent="0.2">
      <c r="A112" s="7" t="s">
        <v>31</v>
      </c>
      <c r="B112" s="7" t="s">
        <v>27</v>
      </c>
      <c r="C112" s="7">
        <v>14</v>
      </c>
      <c r="D112" s="7" t="s">
        <v>50</v>
      </c>
      <c r="E112" s="7" t="s">
        <v>29</v>
      </c>
      <c r="F112" s="15" t="b">
        <f>FALSE()</f>
        <v>0</v>
      </c>
      <c r="G112" s="7" t="s">
        <v>53</v>
      </c>
      <c r="H112" s="7" t="str">
        <f t="shared" si="1"/>
        <v>llama|with_guideline|14</v>
      </c>
    </row>
    <row r="113" spans="1:8" x14ac:dyDescent="0.2">
      <c r="A113" s="7" t="s">
        <v>31</v>
      </c>
      <c r="B113" s="7" t="s">
        <v>27</v>
      </c>
      <c r="C113" s="7">
        <v>26</v>
      </c>
      <c r="D113" s="7" t="s">
        <v>50</v>
      </c>
      <c r="E113" s="7" t="s">
        <v>29</v>
      </c>
      <c r="F113" s="15" t="b">
        <f>FALSE()</f>
        <v>0</v>
      </c>
      <c r="G113" s="7" t="s">
        <v>54</v>
      </c>
      <c r="H113" s="7" t="str">
        <f t="shared" si="1"/>
        <v>llama|with_guideline|26</v>
      </c>
    </row>
    <row r="114" spans="1:8" x14ac:dyDescent="0.2">
      <c r="A114" s="7" t="s">
        <v>31</v>
      </c>
      <c r="B114" s="7" t="s">
        <v>27</v>
      </c>
      <c r="C114" s="7">
        <v>31</v>
      </c>
      <c r="D114" s="7" t="s">
        <v>50</v>
      </c>
      <c r="E114" s="7" t="s">
        <v>29</v>
      </c>
      <c r="F114" s="15" t="b">
        <f>FALSE()</f>
        <v>0</v>
      </c>
      <c r="G114" s="7" t="s">
        <v>55</v>
      </c>
      <c r="H114" s="7" t="str">
        <f t="shared" si="1"/>
        <v>llama|with_guideline|31</v>
      </c>
    </row>
    <row r="115" spans="1:8" x14ac:dyDescent="0.2">
      <c r="A115" s="7" t="s">
        <v>31</v>
      </c>
      <c r="B115" s="7" t="s">
        <v>27</v>
      </c>
      <c r="C115" s="7">
        <v>33</v>
      </c>
      <c r="D115" s="7" t="s">
        <v>50</v>
      </c>
      <c r="E115" s="7" t="s">
        <v>29</v>
      </c>
      <c r="F115" s="15" t="b">
        <f>FALSE()</f>
        <v>0</v>
      </c>
      <c r="G115" s="7" t="s">
        <v>56</v>
      </c>
      <c r="H115" s="7" t="str">
        <f t="shared" si="1"/>
        <v>llama|with_guideline|33</v>
      </c>
    </row>
    <row r="116" spans="1:8" x14ac:dyDescent="0.2">
      <c r="A116" s="7" t="s">
        <v>31</v>
      </c>
      <c r="B116" s="7" t="s">
        <v>27</v>
      </c>
      <c r="C116" s="7">
        <v>41</v>
      </c>
      <c r="D116" s="7" t="s">
        <v>57</v>
      </c>
      <c r="E116" s="7" t="s">
        <v>29</v>
      </c>
      <c r="F116" s="15" t="b">
        <f>FALSE()</f>
        <v>0</v>
      </c>
      <c r="G116" s="7" t="s">
        <v>58</v>
      </c>
      <c r="H116" s="7" t="str">
        <f t="shared" si="1"/>
        <v>llama|with_guideline|41</v>
      </c>
    </row>
    <row r="117" spans="1:8" x14ac:dyDescent="0.2">
      <c r="A117" s="7" t="s">
        <v>31</v>
      </c>
      <c r="B117" s="7" t="s">
        <v>27</v>
      </c>
      <c r="C117" s="7">
        <v>44</v>
      </c>
      <c r="D117" s="7" t="s">
        <v>57</v>
      </c>
      <c r="E117" s="7" t="s">
        <v>29</v>
      </c>
      <c r="F117" s="15" t="b">
        <f>FALSE()</f>
        <v>0</v>
      </c>
      <c r="G117" s="7" t="s">
        <v>59</v>
      </c>
      <c r="H117" s="7" t="str">
        <f t="shared" si="1"/>
        <v>llama|with_guideline|44</v>
      </c>
    </row>
    <row r="118" spans="1:8" x14ac:dyDescent="0.2">
      <c r="A118" s="7" t="s">
        <v>31</v>
      </c>
      <c r="B118" s="7" t="s">
        <v>27</v>
      </c>
      <c r="C118" s="7">
        <v>45</v>
      </c>
      <c r="D118" s="7" t="s">
        <v>57</v>
      </c>
      <c r="E118" s="7" t="s">
        <v>29</v>
      </c>
      <c r="F118" s="15" t="b">
        <f>FALSE()</f>
        <v>0</v>
      </c>
      <c r="G118" s="7" t="s">
        <v>60</v>
      </c>
      <c r="H118" s="7" t="str">
        <f t="shared" si="1"/>
        <v>llama|with_guideline|45</v>
      </c>
    </row>
    <row r="119" spans="1:8" x14ac:dyDescent="0.2">
      <c r="A119" s="7" t="s">
        <v>31</v>
      </c>
      <c r="B119" s="7" t="s">
        <v>27</v>
      </c>
      <c r="C119" s="7">
        <v>51</v>
      </c>
      <c r="D119" s="7" t="s">
        <v>61</v>
      </c>
      <c r="E119" s="7" t="s">
        <v>29</v>
      </c>
      <c r="F119" s="15" t="b">
        <f>FALSE()</f>
        <v>0</v>
      </c>
      <c r="G119" s="7" t="s">
        <v>62</v>
      </c>
      <c r="H119" s="7" t="str">
        <f t="shared" si="1"/>
        <v>llama|with_guideline|51</v>
      </c>
    </row>
    <row r="120" spans="1:8" x14ac:dyDescent="0.2">
      <c r="A120" s="7" t="s">
        <v>31</v>
      </c>
      <c r="B120" s="7" t="s">
        <v>27</v>
      </c>
      <c r="C120" s="7">
        <v>59</v>
      </c>
      <c r="D120" s="7" t="s">
        <v>61</v>
      </c>
      <c r="E120" s="7" t="s">
        <v>29</v>
      </c>
      <c r="F120" s="15" t="b">
        <f>FALSE()</f>
        <v>0</v>
      </c>
      <c r="G120" s="7" t="s">
        <v>63</v>
      </c>
      <c r="H120" s="7" t="str">
        <f t="shared" si="1"/>
        <v>llama|with_guideline|59</v>
      </c>
    </row>
    <row r="121" spans="1:8" x14ac:dyDescent="0.2">
      <c r="A121" s="7" t="s">
        <v>31</v>
      </c>
      <c r="B121" s="7" t="s">
        <v>27</v>
      </c>
      <c r="C121" s="7">
        <v>56</v>
      </c>
      <c r="D121" s="7" t="s">
        <v>61</v>
      </c>
      <c r="E121" s="7" t="s">
        <v>29</v>
      </c>
      <c r="F121" s="15" t="b">
        <f>FALSE()</f>
        <v>0</v>
      </c>
      <c r="G121" s="7" t="s">
        <v>64</v>
      </c>
      <c r="H121" s="7" t="str">
        <f t="shared" si="1"/>
        <v>llama|with_guideline|56</v>
      </c>
    </row>
    <row r="124" spans="1:8" x14ac:dyDescent="0.2">
      <c r="A124" s="1" t="s">
        <v>0</v>
      </c>
      <c r="B124" s="1" t="s">
        <v>1</v>
      </c>
      <c r="C124" t="s">
        <v>5</v>
      </c>
      <c r="D124" s="7" t="s">
        <v>32</v>
      </c>
      <c r="E124" s="7" t="s">
        <v>43</v>
      </c>
      <c r="F124" t="s">
        <v>33</v>
      </c>
    </row>
    <row r="125" spans="1:8" x14ac:dyDescent="0.2">
      <c r="A125" s="2" t="s">
        <v>8</v>
      </c>
      <c r="B125" s="2" t="s">
        <v>9</v>
      </c>
      <c r="C125">
        <f>COUNTIFS(A2:A121,"gpt",B2:B121,"no_guideline",F2:F121,TRUE)</f>
        <v>6</v>
      </c>
      <c r="D125">
        <v>15</v>
      </c>
      <c r="E125" s="8">
        <f>C125/D125</f>
        <v>0.4</v>
      </c>
      <c r="F125">
        <f>COUNTIFS(A2:A121,"gpt",B2:B121,"no_guideline",E2:E121,"PARSE_ERROR")</f>
        <v>0</v>
      </c>
    </row>
    <row r="126" spans="1:8" x14ac:dyDescent="0.2">
      <c r="A126" s="2" t="s">
        <v>8</v>
      </c>
      <c r="B126" s="2" t="s">
        <v>27</v>
      </c>
      <c r="C126">
        <f>COUNTIFS(A2:A121,"gpt",B2:B121,"with_guideline",F2:F121,TRUE)</f>
        <v>15</v>
      </c>
      <c r="D126">
        <v>15</v>
      </c>
      <c r="E126" s="8">
        <f t="shared" ref="E126:E132" si="2">C126/D126</f>
        <v>1</v>
      </c>
      <c r="F126">
        <f>COUNTIFS(A2:A121,"gpt",B2:B121,"with_guideline",E2:E121,"PARSE_ERROR")</f>
        <v>0</v>
      </c>
    </row>
    <row r="127" spans="1:8" x14ac:dyDescent="0.2">
      <c r="A127" s="2" t="s">
        <v>28</v>
      </c>
      <c r="B127" s="2" t="s">
        <v>9</v>
      </c>
      <c r="C127">
        <f>COUNTIFS(A2:A121,"claude",B2:B121,"no_guideline",F2:F121,TRUE)</f>
        <v>2</v>
      </c>
      <c r="D127">
        <v>15</v>
      </c>
      <c r="E127" s="8">
        <f t="shared" si="2"/>
        <v>0.13333333333333333</v>
      </c>
      <c r="F127">
        <f>COUNTIFS(A2:A121,"claude",B2:B121,"no_guideline",E2:E121,"PARSE_ERROR")</f>
        <v>11</v>
      </c>
    </row>
    <row r="128" spans="1:8" x14ac:dyDescent="0.2">
      <c r="A128" s="2" t="s">
        <v>28</v>
      </c>
      <c r="B128" s="2" t="s">
        <v>27</v>
      </c>
      <c r="C128">
        <f>COUNTIFS(A2:A121,"claude",B2:B121,"with_guideline",F2:F121,TRUE)</f>
        <v>10</v>
      </c>
      <c r="D128">
        <v>15</v>
      </c>
      <c r="E128" s="8">
        <f t="shared" si="2"/>
        <v>0.66666666666666663</v>
      </c>
      <c r="F128">
        <f>COUNTIFS(A2:A121,"claude",B2:B121,"with_guideline",E2:E121,"PARSE_ERROR")</f>
        <v>5</v>
      </c>
    </row>
    <row r="129" spans="1:8" x14ac:dyDescent="0.2">
      <c r="A129" s="2" t="s">
        <v>30</v>
      </c>
      <c r="B129" s="2" t="s">
        <v>9</v>
      </c>
      <c r="C129">
        <f>COUNTIFS(A2:A121,"gemini",B2:B121,"no_guideline",F2:F121,TRUE)</f>
        <v>6</v>
      </c>
      <c r="D129">
        <v>15</v>
      </c>
      <c r="E129" s="8">
        <f t="shared" si="2"/>
        <v>0.4</v>
      </c>
      <c r="F129">
        <f>COUNTIFS(A2:A121,"gemini",B2:B121,"no_guideline",E2:E121,"PARSE_ERROR")</f>
        <v>0</v>
      </c>
    </row>
    <row r="130" spans="1:8" x14ac:dyDescent="0.2">
      <c r="A130" s="2" t="s">
        <v>30</v>
      </c>
      <c r="B130" s="2" t="s">
        <v>27</v>
      </c>
      <c r="C130">
        <f>COUNTIFS(A2:A121,"gemini",B2:B121,"with_guideline",F2:F121,TRUE)</f>
        <v>15</v>
      </c>
      <c r="D130">
        <v>15</v>
      </c>
      <c r="E130" s="8">
        <f t="shared" si="2"/>
        <v>1</v>
      </c>
      <c r="F130">
        <f>COUNTIFS(A2:A121,"gemini",B2:B121,"with_guideline",E2:E121,"PARSE_ERROR")</f>
        <v>0</v>
      </c>
    </row>
    <row r="131" spans="1:8" x14ac:dyDescent="0.2">
      <c r="A131" s="2" t="s">
        <v>31</v>
      </c>
      <c r="B131" s="2" t="s">
        <v>9</v>
      </c>
      <c r="C131">
        <f>COUNTIFS(A2:A121,"llama",B2:B121,"no_guideline",F2:F121,TRUE)</f>
        <v>4</v>
      </c>
      <c r="D131">
        <v>15</v>
      </c>
      <c r="E131" s="8">
        <f t="shared" si="2"/>
        <v>0.26666666666666666</v>
      </c>
      <c r="F131">
        <f>COUNTIFS(A2:A121,"llama",B2:B121,"no_guideline",E2:E121,"PARSE_ERROR")</f>
        <v>3</v>
      </c>
    </row>
    <row r="132" spans="1:8" x14ac:dyDescent="0.2">
      <c r="A132" s="2" t="s">
        <v>31</v>
      </c>
      <c r="B132" s="2" t="s">
        <v>27</v>
      </c>
      <c r="C132">
        <f>COUNTIFS(A2:A121,"llama",B2:B121,"with_guideline",F2:F121,TRUE)</f>
        <v>0</v>
      </c>
      <c r="D132">
        <v>15</v>
      </c>
      <c r="E132" s="8">
        <f t="shared" si="2"/>
        <v>0</v>
      </c>
      <c r="F132">
        <f>COUNTIFS(A2:A121,"llama",B2:B121,"with_guideline",E2:E121,"PARSE_ERROR")</f>
        <v>15</v>
      </c>
    </row>
    <row r="135" spans="1:8" x14ac:dyDescent="0.2">
      <c r="A135" s="12" t="s">
        <v>44</v>
      </c>
    </row>
    <row r="136" spans="1:8" x14ac:dyDescent="0.2">
      <c r="A136" s="1" t="s">
        <v>0</v>
      </c>
      <c r="B136" s="1" t="s">
        <v>34</v>
      </c>
      <c r="C136" s="1" t="s">
        <v>35</v>
      </c>
      <c r="D136" s="1" t="s">
        <v>36</v>
      </c>
    </row>
    <row r="137" spans="1:8" x14ac:dyDescent="0.2">
      <c r="A137" s="2" t="s">
        <v>8</v>
      </c>
      <c r="B137" s="8">
        <f>E125</f>
        <v>0.4</v>
      </c>
      <c r="C137" s="5">
        <f>E126</f>
        <v>1</v>
      </c>
      <c r="D137" s="6">
        <f>IF(OR(B137="N/A",C137="N/A"),"N/A",C137-B137)</f>
        <v>0.6</v>
      </c>
    </row>
    <row r="138" spans="1:8" x14ac:dyDescent="0.2">
      <c r="A138" s="2" t="s">
        <v>28</v>
      </c>
      <c r="B138" s="5">
        <f>E127</f>
        <v>0.13333333333333333</v>
      </c>
      <c r="C138" s="5">
        <f>E128</f>
        <v>0.66666666666666663</v>
      </c>
      <c r="D138" s="6">
        <f>IF(OR(B138="N/A",C138="N/A"),"N/A",C138-B138)</f>
        <v>0.53333333333333333</v>
      </c>
    </row>
    <row r="139" spans="1:8" x14ac:dyDescent="0.2">
      <c r="A139" s="2" t="s">
        <v>30</v>
      </c>
      <c r="B139" s="5">
        <f>E129</f>
        <v>0.4</v>
      </c>
      <c r="C139" s="5">
        <f>E130</f>
        <v>1</v>
      </c>
      <c r="D139" s="6">
        <f>IF(OR(B139="N/A",C139="N/A"),"N/A",C139-B139)</f>
        <v>0.6</v>
      </c>
    </row>
    <row r="140" spans="1:8" x14ac:dyDescent="0.2">
      <c r="A140" s="2" t="s">
        <v>31</v>
      </c>
      <c r="B140" s="13">
        <f>E131</f>
        <v>0.26666666666666666</v>
      </c>
      <c r="C140" s="5">
        <f>E132</f>
        <v>0</v>
      </c>
      <c r="D140" s="6">
        <f>IF(OR(B140="N/A",C140="N/A"),"N/A",C140-B140)</f>
        <v>-0.26666666666666666</v>
      </c>
    </row>
    <row r="143" spans="1:8" x14ac:dyDescent="0.2">
      <c r="A143" s="7" t="s">
        <v>65</v>
      </c>
    </row>
    <row r="144" spans="1:8" x14ac:dyDescent="0.2">
      <c r="A144" s="10" t="s">
        <v>2</v>
      </c>
      <c r="B144" s="10" t="s">
        <v>3</v>
      </c>
      <c r="C144" s="10" t="s">
        <v>37</v>
      </c>
      <c r="D144" s="10" t="s">
        <v>38</v>
      </c>
      <c r="E144" s="10" t="s">
        <v>39</v>
      </c>
      <c r="F144" s="10" t="s">
        <v>40</v>
      </c>
      <c r="G144" s="10" t="s">
        <v>41</v>
      </c>
      <c r="H144" s="10" t="s">
        <v>42</v>
      </c>
    </row>
    <row r="145" spans="1:8" x14ac:dyDescent="0.2">
      <c r="A145" s="7">
        <v>1</v>
      </c>
      <c r="B145" s="7" t="str">
        <f>IFERROR(INDEX([1]Details!D:D,MATCH("gpt|with_guideline|1",[1]Details!H:H,0)),"N/A")</f>
        <v>Screen_3y</v>
      </c>
      <c r="C145" s="7" t="str">
        <f>IFERROR(INDEX([1]Details!E:E,MATCH("gpt|with_guideline|1",[1]Details!H:H,0)),"N/A")</f>
        <v>Screen_3y</v>
      </c>
      <c r="D145" s="7" t="str">
        <f>IFERROR(INDEX([1]Details!E:E,MATCH("claude|with_guideline|1",[1]Details!H:H,0)),"N/A")</f>
        <v>Screen_3y</v>
      </c>
      <c r="E145" s="7" t="str">
        <f>IFERROR(INDEX([1]Details!E:E,MATCH("gemini|with_guideline|1",[1]Details!H:H,0)),"N/A")</f>
        <v>Screen_3y</v>
      </c>
      <c r="F145" s="7" t="str">
        <f>IFERROR(INDEX([1]Details!E:E,MATCH("llama|with_guideline|1",[1]Details!H:H,0)),"N/A")</f>
        <v>PARSE_ERROR</v>
      </c>
      <c r="G145" s="7">
        <f t="shared" ref="G145:G159" si="3">SUMPRODUCT(((C145:F145)&lt;&gt;B145)*1)</f>
        <v>1</v>
      </c>
      <c r="H145" s="7" t="b">
        <f t="shared" ref="H145:H159" si="4">IF(SUMPRODUCT(1/COUNTIF(C145:F145,C145:F145))=1,TRUE(),FALSE())</f>
        <v>0</v>
      </c>
    </row>
    <row r="146" spans="1:8" x14ac:dyDescent="0.2">
      <c r="A146" s="7">
        <v>2</v>
      </c>
      <c r="B146" s="7" t="str">
        <f>IFERROR(INDEX([1]Details!D:D,MATCH("gpt|with_guideline|2",[1]Details!H:H,0)),"N/A")</f>
        <v>Screen_1y</v>
      </c>
      <c r="C146" s="7" t="str">
        <f>IFERROR(INDEX([1]Details!E:E,MATCH("gpt|with_guideline|2",[1]Details!H:H,0)),"N/A")</f>
        <v>Screen_1y</v>
      </c>
      <c r="D146" s="7" t="str">
        <f>IFERROR(INDEX([1]Details!E:E,MATCH("claude|with_guideline|2",[1]Details!H:H,0)),"N/A")</f>
        <v>Screen_1y</v>
      </c>
      <c r="E146" s="7" t="str">
        <f>IFERROR(INDEX([1]Details!E:E,MATCH("gemini|with_guideline|2",[1]Details!H:H,0)),"N/A")</f>
        <v>Screen_1y</v>
      </c>
      <c r="F146" s="7" t="str">
        <f>IFERROR(INDEX([1]Details!E:E,MATCH("llama|with_guideline|2",[1]Details!H:H,0)),"N/A")</f>
        <v>PARSE_ERROR</v>
      </c>
      <c r="G146" s="7">
        <f t="shared" si="3"/>
        <v>1</v>
      </c>
      <c r="H146" s="7" t="b">
        <f t="shared" si="4"/>
        <v>0</v>
      </c>
    </row>
    <row r="147" spans="1:8" x14ac:dyDescent="0.2">
      <c r="A147" s="7">
        <v>11</v>
      </c>
      <c r="B147" s="7" t="str">
        <f>IFERROR(INDEX([1]Details!D:D,MATCH("gpt|with_guideline|11",[1]Details!H:H,0)),"N/A")</f>
        <v>Screen_1y</v>
      </c>
      <c r="C147" s="7" t="str">
        <f>IFERROR(INDEX([1]Details!E:E,MATCH("gpt|with_guideline|11",[1]Details!H:H,0)),"N/A")</f>
        <v>Screen_1y</v>
      </c>
      <c r="D147" s="7" t="str">
        <f>IFERROR(INDEX([1]Details!E:E,MATCH("claude|with_guideline|11",[1]Details!H:H,0)),"N/A")</f>
        <v>Screen_1y</v>
      </c>
      <c r="E147" s="7" t="str">
        <f>IFERROR(INDEX([1]Details!E:E,MATCH("gemini|with_guideline|11",[1]Details!H:H,0)),"N/A")</f>
        <v>Screen_1y</v>
      </c>
      <c r="F147" s="7" t="str">
        <f>IFERROR(INDEX([1]Details!E:E,MATCH("llama|with_guideline|11",[1]Details!H:H,0)),"N/A")</f>
        <v>PARSE_ERROR</v>
      </c>
      <c r="G147" s="7">
        <f t="shared" si="3"/>
        <v>1</v>
      </c>
      <c r="H147" s="7" t="b">
        <f t="shared" si="4"/>
        <v>0</v>
      </c>
    </row>
    <row r="148" spans="1:8" x14ac:dyDescent="0.2">
      <c r="A148" s="7">
        <v>12</v>
      </c>
      <c r="B148" s="7" t="str">
        <f>IFERROR(INDEX([1]Details!D:D,MATCH("gpt|with_guideline|12",[1]Details!H:H,0)),"N/A")</f>
        <v>Confirm</v>
      </c>
      <c r="C148" s="7" t="str">
        <f>IFERROR(INDEX([1]Details!E:E,MATCH("gpt|with_guideline|12",[1]Details!H:H,0)),"N/A")</f>
        <v>Confirm</v>
      </c>
      <c r="D148" s="7" t="str">
        <f>IFERROR(INDEX([1]Details!E:E,MATCH("claude|with_guideline|12",[1]Details!H:H,0)),"N/A")</f>
        <v>PARSE_ERROR</v>
      </c>
      <c r="E148" s="7" t="str">
        <f>IFERROR(INDEX([1]Details!E:E,MATCH("gemini|with_guideline|12",[1]Details!H:H,0)),"N/A")</f>
        <v>Confirm</v>
      </c>
      <c r="F148" s="7" t="str">
        <f>IFERROR(INDEX([1]Details!E:E,MATCH("llama|with_guideline|12",[1]Details!H:H,0)),"N/A")</f>
        <v>PARSE_ERROR</v>
      </c>
      <c r="G148" s="7">
        <f t="shared" si="3"/>
        <v>2</v>
      </c>
      <c r="H148" s="7" t="b">
        <f t="shared" si="4"/>
        <v>0</v>
      </c>
    </row>
    <row r="149" spans="1:8" x14ac:dyDescent="0.2">
      <c r="A149" s="7">
        <v>13</v>
      </c>
      <c r="B149" s="7" t="str">
        <f>IFERROR(INDEX([1]Details!D:D,MATCH("gpt|with_guideline|13",[1]Details!H:H,0)),"N/A")</f>
        <v>Screen_1y</v>
      </c>
      <c r="C149" s="7" t="str">
        <f>IFERROR(INDEX([1]Details!E:E,MATCH("gpt|with_guideline|13",[1]Details!H:H,0)),"N/A")</f>
        <v>Screen_1y</v>
      </c>
      <c r="D149" s="7" t="str">
        <f>IFERROR(INDEX([1]Details!E:E,MATCH("claude|with_guideline|13",[1]Details!H:H,0)),"N/A")</f>
        <v>Screen_1y</v>
      </c>
      <c r="E149" s="7" t="str">
        <f>IFERROR(INDEX([1]Details!E:E,MATCH("gemini|with_guideline|13",[1]Details!H:H,0)),"N/A")</f>
        <v>Screen_1y</v>
      </c>
      <c r="F149" s="7" t="str">
        <f>IFERROR(INDEX([1]Details!E:E,MATCH("llama|with_guideline|13",[1]Details!H:H,0)),"N/A")</f>
        <v>PARSE_ERROR</v>
      </c>
      <c r="G149" s="7">
        <f t="shared" si="3"/>
        <v>1</v>
      </c>
      <c r="H149" s="7" t="b">
        <f t="shared" si="4"/>
        <v>0</v>
      </c>
    </row>
    <row r="150" spans="1:8" x14ac:dyDescent="0.2">
      <c r="A150" s="7">
        <v>14</v>
      </c>
      <c r="B150" s="7" t="str">
        <f>IFERROR(INDEX([1]Details!D:D,MATCH("gpt|with_guideline|14",[1]Details!H:H,0)),"N/A")</f>
        <v>Confirm</v>
      </c>
      <c r="C150" s="7" t="str">
        <f>IFERROR(INDEX([1]Details!E:E,MATCH("gpt|with_guideline|14",[1]Details!H:H,0)),"N/A")</f>
        <v>Confirm</v>
      </c>
      <c r="D150" s="7" t="str">
        <f>IFERROR(INDEX([1]Details!E:E,MATCH("claude|with_guideline|14",[1]Details!H:H,0)),"N/A")</f>
        <v>PARSE_ERROR</v>
      </c>
      <c r="E150" s="7" t="str">
        <f>IFERROR(INDEX([1]Details!E:E,MATCH("gemini|with_guideline|14",[1]Details!H:H,0)),"N/A")</f>
        <v>Confirm</v>
      </c>
      <c r="F150" s="7" t="str">
        <f>IFERROR(INDEX([1]Details!E:E,MATCH("llama|with_guideline|14",[1]Details!H:H,0)),"N/A")</f>
        <v>PARSE_ERROR</v>
      </c>
      <c r="G150" s="7">
        <f t="shared" si="3"/>
        <v>2</v>
      </c>
      <c r="H150" s="7" t="b">
        <f t="shared" si="4"/>
        <v>0</v>
      </c>
    </row>
    <row r="151" spans="1:8" x14ac:dyDescent="0.2">
      <c r="A151" s="7">
        <v>26</v>
      </c>
      <c r="B151" s="7" t="str">
        <f>IFERROR(INDEX([1]Details!D:D,MATCH("gpt|with_guideline|26",[1]Details!H:H,0)),"N/A")</f>
        <v>Confirm</v>
      </c>
      <c r="C151" s="7" t="str">
        <f>IFERROR(INDEX([1]Details!E:E,MATCH("gpt|with_guideline|26",[1]Details!H:H,0)),"N/A")</f>
        <v>Confirm</v>
      </c>
      <c r="D151" s="7" t="str">
        <f>IFERROR(INDEX([1]Details!E:E,MATCH("claude|with_guideline|26",[1]Details!H:H,0)),"N/A")</f>
        <v>Confirm</v>
      </c>
      <c r="E151" s="7" t="str">
        <f>IFERROR(INDEX([1]Details!E:E,MATCH("gemini|with_guideline|26",[1]Details!H:H,0)),"N/A")</f>
        <v>Confirm</v>
      </c>
      <c r="F151" s="7" t="str">
        <f>IFERROR(INDEX([1]Details!E:E,MATCH("llama|with_guideline|26",[1]Details!H:H,0)),"N/A")</f>
        <v>PARSE_ERROR</v>
      </c>
      <c r="G151" s="7">
        <f t="shared" si="3"/>
        <v>1</v>
      </c>
      <c r="H151" s="7" t="b">
        <f t="shared" si="4"/>
        <v>0</v>
      </c>
    </row>
    <row r="152" spans="1:8" x14ac:dyDescent="0.2">
      <c r="A152" s="7">
        <v>31</v>
      </c>
      <c r="B152" s="7" t="str">
        <f>IFERROR(INDEX([1]Details!D:D,MATCH("gpt|with_guideline|31",[1]Details!H:H,0)),"N/A")</f>
        <v>Confirm</v>
      </c>
      <c r="C152" s="7" t="str">
        <f>IFERROR(INDEX([1]Details!E:E,MATCH("gpt|with_guideline|31",[1]Details!H:H,0)),"N/A")</f>
        <v>Confirm</v>
      </c>
      <c r="D152" s="7" t="str">
        <f>IFERROR(INDEX([1]Details!E:E,MATCH("claude|with_guideline|31",[1]Details!H:H,0)),"N/A")</f>
        <v>PARSE_ERROR</v>
      </c>
      <c r="E152" s="7" t="str">
        <f>IFERROR(INDEX([1]Details!E:E,MATCH("gemini|with_guideline|31",[1]Details!H:H,0)),"N/A")</f>
        <v>Confirm</v>
      </c>
      <c r="F152" s="7" t="str">
        <f>IFERROR(INDEX([1]Details!E:E,MATCH("llama|with_guideline|31",[1]Details!H:H,0)),"N/A")</f>
        <v>PARSE_ERROR</v>
      </c>
      <c r="G152" s="7">
        <f t="shared" si="3"/>
        <v>2</v>
      </c>
      <c r="H152" s="7" t="b">
        <f t="shared" si="4"/>
        <v>0</v>
      </c>
    </row>
    <row r="153" spans="1:8" x14ac:dyDescent="0.2">
      <c r="A153" s="7">
        <v>33</v>
      </c>
      <c r="B153" s="7" t="str">
        <f>IFERROR(INDEX([1]Details!D:D,MATCH("gpt|with_guideline|33",[1]Details!H:H,0)),"N/A")</f>
        <v>Confirm</v>
      </c>
      <c r="C153" s="7" t="str">
        <f>IFERROR(INDEX([1]Details!E:E,MATCH("gpt|with_guideline|33",[1]Details!H:H,0)),"N/A")</f>
        <v>Confirm</v>
      </c>
      <c r="D153" s="7" t="str">
        <f>IFERROR(INDEX([1]Details!E:E,MATCH("claude|with_guideline|33",[1]Details!H:H,0)),"N/A")</f>
        <v>Confirm</v>
      </c>
      <c r="E153" s="7" t="str">
        <f>IFERROR(INDEX([1]Details!E:E,MATCH("gemini|with_guideline|33",[1]Details!H:H,0)),"N/A")</f>
        <v>Confirm</v>
      </c>
      <c r="F153" s="7" t="str">
        <f>IFERROR(INDEX([1]Details!E:E,MATCH("llama|with_guideline|33",[1]Details!H:H,0)),"N/A")</f>
        <v>PARSE_ERROR</v>
      </c>
      <c r="G153" s="7">
        <f t="shared" si="3"/>
        <v>1</v>
      </c>
      <c r="H153" s="7" t="b">
        <f t="shared" si="4"/>
        <v>0</v>
      </c>
    </row>
    <row r="154" spans="1:8" x14ac:dyDescent="0.2">
      <c r="A154" s="7">
        <v>41</v>
      </c>
      <c r="B154" s="7" t="str">
        <f>IFERROR(INDEX([1]Details!D:D,MATCH("gpt|with_guideline|41",[1]Details!H:H,0)),"N/A")</f>
        <v>ConfirmPromptly</v>
      </c>
      <c r="C154" s="7" t="str">
        <f>IFERROR(INDEX([1]Details!E:E,MATCH("gpt|with_guideline|41",[1]Details!H:H,0)),"N/A")</f>
        <v>ConfirmPromptly</v>
      </c>
      <c r="D154" s="7" t="str">
        <f>IFERROR(INDEX([1]Details!E:E,MATCH("claude|with_guideline|41",[1]Details!H:H,0)),"N/A")</f>
        <v>ConfirmPromptly</v>
      </c>
      <c r="E154" s="7" t="str">
        <f>IFERROR(INDEX([1]Details!E:E,MATCH("gemini|with_guideline|41",[1]Details!H:H,0)),"N/A")</f>
        <v>ConfirmPromptly</v>
      </c>
      <c r="F154" s="7" t="str">
        <f>IFERROR(INDEX([1]Details!E:E,MATCH("llama|with_guideline|41",[1]Details!H:H,0)),"N/A")</f>
        <v>PARSE_ERROR</v>
      </c>
      <c r="G154" s="7">
        <f t="shared" si="3"/>
        <v>1</v>
      </c>
      <c r="H154" s="7" t="b">
        <f t="shared" si="4"/>
        <v>0</v>
      </c>
    </row>
    <row r="155" spans="1:8" x14ac:dyDescent="0.2">
      <c r="A155" s="7">
        <v>44</v>
      </c>
      <c r="B155" s="7" t="str">
        <f>IFERROR(INDEX([1]Details!D:D,MATCH("gpt|with_guideline|44",[1]Details!H:H,0)),"N/A")</f>
        <v>ConfirmPromptly</v>
      </c>
      <c r="C155" s="7" t="str">
        <f>IFERROR(INDEX([1]Details!E:E,MATCH("gpt|with_guideline|44",[1]Details!H:H,0)),"N/A")</f>
        <v>ConfirmPromptly</v>
      </c>
      <c r="D155" s="7" t="str">
        <f>IFERROR(INDEX([1]Details!E:E,MATCH("claude|with_guideline|44",[1]Details!H:H,0)),"N/A")</f>
        <v>ConfirmPromptly</v>
      </c>
      <c r="E155" s="7" t="str">
        <f>IFERROR(INDEX([1]Details!E:E,MATCH("gemini|with_guideline|44",[1]Details!H:H,0)),"N/A")</f>
        <v>ConfirmPromptly</v>
      </c>
      <c r="F155" s="7" t="str">
        <f>IFERROR(INDEX([1]Details!E:E,MATCH("llama|with_guideline|44",[1]Details!H:H,0)),"N/A")</f>
        <v>PARSE_ERROR</v>
      </c>
      <c r="G155" s="7">
        <f t="shared" si="3"/>
        <v>1</v>
      </c>
      <c r="H155" s="7" t="b">
        <f t="shared" si="4"/>
        <v>0</v>
      </c>
    </row>
    <row r="156" spans="1:8" x14ac:dyDescent="0.2">
      <c r="A156" s="7">
        <v>45</v>
      </c>
      <c r="B156" s="7" t="str">
        <f>IFERROR(INDEX([1]Details!D:D,MATCH("gpt|with_guideline|45",[1]Details!H:H,0)),"N/A")</f>
        <v>ConfirmPromptly</v>
      </c>
      <c r="C156" s="7" t="str">
        <f>IFERROR(INDEX([1]Details!E:E,MATCH("gpt|with_guideline|45",[1]Details!H:H,0)),"N/A")</f>
        <v>ConfirmPromptly</v>
      </c>
      <c r="D156" s="7" t="str">
        <f>IFERROR(INDEX([1]Details!E:E,MATCH("claude|with_guideline|45",[1]Details!H:H,0)),"N/A")</f>
        <v>PARSE_ERROR</v>
      </c>
      <c r="E156" s="7" t="str">
        <f>IFERROR(INDEX([1]Details!E:E,MATCH("gemini|with_guideline|45",[1]Details!H:H,0)),"N/A")</f>
        <v>ConfirmPromptly</v>
      </c>
      <c r="F156" s="7" t="str">
        <f>IFERROR(INDEX([1]Details!E:E,MATCH("llama|with_guideline|45",[1]Details!H:H,0)),"N/A")</f>
        <v>PARSE_ERROR</v>
      </c>
      <c r="G156" s="7">
        <f t="shared" si="3"/>
        <v>2</v>
      </c>
      <c r="H156" s="7" t="b">
        <f t="shared" si="4"/>
        <v>0</v>
      </c>
    </row>
    <row r="157" spans="1:8" x14ac:dyDescent="0.2">
      <c r="A157" s="7">
        <v>51</v>
      </c>
      <c r="B157" s="7" t="str">
        <f>IFERROR(INDEX([1]Details!D:D,MATCH("gpt|with_guideline|51",[1]Details!H:H,0)),"N/A")</f>
        <v>EvaluateEmergency</v>
      </c>
      <c r="C157" s="7" t="str">
        <f>IFERROR(INDEX([1]Details!E:E,MATCH("gpt|with_guideline|51",[1]Details!H:H,0)),"N/A")</f>
        <v>EvaluateEmergency</v>
      </c>
      <c r="D157" s="7" t="str">
        <f>IFERROR(INDEX([1]Details!E:E,MATCH("claude|with_guideline|51",[1]Details!H:H,0)),"N/A")</f>
        <v>EvaluateEmergency</v>
      </c>
      <c r="E157" s="7" t="str">
        <f>IFERROR(INDEX([1]Details!E:E,MATCH("gemini|with_guideline|51",[1]Details!H:H,0)),"N/A")</f>
        <v>EvaluateEmergency</v>
      </c>
      <c r="F157" s="7" t="str">
        <f>IFERROR(INDEX([1]Details!E:E,MATCH("llama|with_guideline|51",[1]Details!H:H,0)),"N/A")</f>
        <v>PARSE_ERROR</v>
      </c>
      <c r="G157" s="7">
        <f t="shared" si="3"/>
        <v>1</v>
      </c>
      <c r="H157" s="7" t="b">
        <f t="shared" si="4"/>
        <v>0</v>
      </c>
    </row>
    <row r="158" spans="1:8" x14ac:dyDescent="0.2">
      <c r="A158" s="7">
        <v>59</v>
      </c>
      <c r="B158" s="7" t="str">
        <f>IFERROR(INDEX([1]Details!D:D,MATCH("gpt|with_guideline|59",[1]Details!H:H,0)),"N/A")</f>
        <v>EvaluateEmergency</v>
      </c>
      <c r="C158" s="7" t="str">
        <f>IFERROR(INDEX([1]Details!E:E,MATCH("gpt|with_guideline|59",[1]Details!H:H,0)),"N/A")</f>
        <v>EvaluateEmergency</v>
      </c>
      <c r="D158" s="7" t="str">
        <f>IFERROR(INDEX([1]Details!E:E,MATCH("claude|with_guideline|59",[1]Details!H:H,0)),"N/A")</f>
        <v>EvaluateEmergency</v>
      </c>
      <c r="E158" s="7" t="str">
        <f>IFERROR(INDEX([1]Details!E:E,MATCH("gemini|with_guideline|59",[1]Details!H:H,0)),"N/A")</f>
        <v>EvaluateEmergency</v>
      </c>
      <c r="F158" s="7" t="str">
        <f>IFERROR(INDEX([1]Details!E:E,MATCH("llama|with_guideline|59",[1]Details!H:H,0)),"N/A")</f>
        <v>PARSE_ERROR</v>
      </c>
      <c r="G158" s="7">
        <f t="shared" si="3"/>
        <v>1</v>
      </c>
      <c r="H158" s="7" t="b">
        <f t="shared" si="4"/>
        <v>0</v>
      </c>
    </row>
    <row r="159" spans="1:8" x14ac:dyDescent="0.2">
      <c r="A159" s="7">
        <v>56</v>
      </c>
      <c r="B159" s="7" t="str">
        <f>IFERROR(INDEX([1]Details!D:D,MATCH("gpt|with_guideline|56",[1]Details!H:H,0)),"N/A")</f>
        <v>EvaluateEmergency</v>
      </c>
      <c r="C159" s="7" t="str">
        <f>IFERROR(INDEX([1]Details!E:E,MATCH("gpt|with_guideline|56",[1]Details!H:H,0)),"N/A")</f>
        <v>EvaluateEmergency</v>
      </c>
      <c r="D159" s="7" t="str">
        <f>IFERROR(INDEX([1]Details!E:E,MATCH("claude|with_guideline|56",[1]Details!H:H,0)),"N/A")</f>
        <v>PARSE_ERROR</v>
      </c>
      <c r="E159" s="7" t="str">
        <f>IFERROR(INDEX([1]Details!E:E,MATCH("gemini|with_guideline|56",[1]Details!H:H,0)),"N/A")</f>
        <v>EvaluateEmergency</v>
      </c>
      <c r="F159" s="7" t="str">
        <f>IFERROR(INDEX([1]Details!E:E,MATCH("llama|with_guideline|56",[1]Details!H:H,0)),"N/A")</f>
        <v>PARSE_ERROR</v>
      </c>
      <c r="G159" s="7">
        <f t="shared" si="3"/>
        <v>2</v>
      </c>
      <c r="H159" s="7" t="b">
        <f t="shared" si="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5E7D9-7A84-B54E-A6FF-CE6D701FE8A2}">
  <dimension ref="A1:H266"/>
  <sheetViews>
    <sheetView topLeftCell="A220" workbookViewId="0">
      <selection activeCell="E236" sqref="E236"/>
    </sheetView>
  </sheetViews>
  <sheetFormatPr baseColWidth="10" defaultRowHeight="15" x14ac:dyDescent="0.2"/>
  <cols>
    <col min="1" max="1" width="19.6640625" customWidth="1"/>
    <col min="2" max="2" width="19.5" customWidth="1"/>
    <col min="3" max="3" width="19.1640625" customWidth="1"/>
    <col min="4" max="4" width="30.1640625" customWidth="1"/>
    <col min="5" max="5" width="29.6640625" customWidth="1"/>
    <col min="6" max="6" width="22.83203125" customWidth="1"/>
    <col min="7" max="7" width="65.83203125" customWidth="1"/>
  </cols>
  <sheetData>
    <row r="1" spans="1:8" x14ac:dyDescent="0.2">
      <c r="A1" s="10" t="s">
        <v>0</v>
      </c>
      <c r="B1" s="10" t="s">
        <v>1</v>
      </c>
      <c r="C1" s="10" t="s">
        <v>2</v>
      </c>
      <c r="D1" s="10" t="s">
        <v>3</v>
      </c>
      <c r="E1" s="10" t="s">
        <v>4</v>
      </c>
      <c r="F1" s="10" t="s">
        <v>5</v>
      </c>
      <c r="G1" s="10" t="s">
        <v>6</v>
      </c>
      <c r="H1" s="10" t="s">
        <v>7</v>
      </c>
    </row>
    <row r="2" spans="1:8" x14ac:dyDescent="0.2">
      <c r="A2" s="7" t="s">
        <v>8</v>
      </c>
      <c r="B2" s="7" t="s">
        <v>9</v>
      </c>
      <c r="C2" s="7">
        <v>1</v>
      </c>
      <c r="D2" s="7" t="s">
        <v>66</v>
      </c>
      <c r="E2" s="7" t="s">
        <v>66</v>
      </c>
      <c r="F2" s="14" t="b">
        <f>TRUE()</f>
        <v>1</v>
      </c>
      <c r="G2" s="7" t="s">
        <v>67</v>
      </c>
      <c r="H2" s="7" t="str">
        <f t="shared" ref="H2:H65" si="0">A2&amp;"|"&amp;B2&amp;"|"&amp;C2</f>
        <v>gpt|no_guideline|1</v>
      </c>
    </row>
    <row r="3" spans="1:8" x14ac:dyDescent="0.2">
      <c r="A3" s="7" t="s">
        <v>8</v>
      </c>
      <c r="B3" s="7" t="s">
        <v>9</v>
      </c>
      <c r="C3" s="7">
        <v>11</v>
      </c>
      <c r="D3" s="7" t="s">
        <v>66</v>
      </c>
      <c r="E3" s="7" t="s">
        <v>66</v>
      </c>
      <c r="F3" s="14" t="b">
        <f>TRUE()</f>
        <v>1</v>
      </c>
      <c r="G3" s="7" t="s">
        <v>68</v>
      </c>
      <c r="H3" s="7" t="str">
        <f t="shared" si="0"/>
        <v>gpt|no_guideline|11</v>
      </c>
    </row>
    <row r="4" spans="1:8" x14ac:dyDescent="0.2">
      <c r="A4" s="7" t="s">
        <v>8</v>
      </c>
      <c r="B4" s="7" t="s">
        <v>9</v>
      </c>
      <c r="C4" s="7">
        <v>12</v>
      </c>
      <c r="D4" s="7" t="s">
        <v>69</v>
      </c>
      <c r="E4" s="7" t="s">
        <v>69</v>
      </c>
      <c r="F4" s="14" t="b">
        <f>TRUE()</f>
        <v>1</v>
      </c>
      <c r="G4" s="7" t="s">
        <v>70</v>
      </c>
      <c r="H4" s="7" t="str">
        <f t="shared" si="0"/>
        <v>gpt|no_guideline|12</v>
      </c>
    </row>
    <row r="5" spans="1:8" x14ac:dyDescent="0.2">
      <c r="A5" s="7" t="s">
        <v>8</v>
      </c>
      <c r="B5" s="7" t="s">
        <v>9</v>
      </c>
      <c r="C5" s="7">
        <v>13</v>
      </c>
      <c r="D5" s="7" t="s">
        <v>66</v>
      </c>
      <c r="E5" s="7" t="s">
        <v>66</v>
      </c>
      <c r="F5" s="14" t="b">
        <f>TRUE()</f>
        <v>1</v>
      </c>
      <c r="G5" s="7" t="s">
        <v>71</v>
      </c>
      <c r="H5" s="7" t="str">
        <f t="shared" si="0"/>
        <v>gpt|no_guideline|13</v>
      </c>
    </row>
    <row r="6" spans="1:8" x14ac:dyDescent="0.2">
      <c r="A6" s="7" t="s">
        <v>8</v>
      </c>
      <c r="B6" s="7" t="s">
        <v>9</v>
      </c>
      <c r="C6" s="7">
        <v>14</v>
      </c>
      <c r="D6" s="7" t="s">
        <v>69</v>
      </c>
      <c r="E6" s="7" t="s">
        <v>69</v>
      </c>
      <c r="F6" s="14" t="b">
        <f>TRUE()</f>
        <v>1</v>
      </c>
      <c r="G6" s="7" t="s">
        <v>72</v>
      </c>
      <c r="H6" s="7" t="str">
        <f t="shared" si="0"/>
        <v>gpt|no_guideline|14</v>
      </c>
    </row>
    <row r="7" spans="1:8" x14ac:dyDescent="0.2">
      <c r="A7" s="7" t="s">
        <v>8</v>
      </c>
      <c r="B7" s="7" t="s">
        <v>9</v>
      </c>
      <c r="C7" s="7">
        <v>15</v>
      </c>
      <c r="D7" s="7" t="s">
        <v>66</v>
      </c>
      <c r="E7" s="7" t="s">
        <v>69</v>
      </c>
      <c r="F7" s="15" t="b">
        <f>FALSE()</f>
        <v>0</v>
      </c>
      <c r="G7" s="7" t="s">
        <v>73</v>
      </c>
      <c r="H7" s="7" t="str">
        <f t="shared" si="0"/>
        <v>gpt|no_guideline|15</v>
      </c>
    </row>
    <row r="8" spans="1:8" x14ac:dyDescent="0.2">
      <c r="A8" s="7" t="s">
        <v>8</v>
      </c>
      <c r="B8" s="7" t="s">
        <v>9</v>
      </c>
      <c r="C8" s="7">
        <v>16</v>
      </c>
      <c r="D8" s="7" t="s">
        <v>69</v>
      </c>
      <c r="E8" s="7" t="s">
        <v>69</v>
      </c>
      <c r="F8" s="14" t="b">
        <f>TRUE()</f>
        <v>1</v>
      </c>
      <c r="G8" s="7" t="s">
        <v>74</v>
      </c>
      <c r="H8" s="7" t="str">
        <f t="shared" si="0"/>
        <v>gpt|no_guideline|16</v>
      </c>
    </row>
    <row r="9" spans="1:8" x14ac:dyDescent="0.2">
      <c r="A9" s="7" t="s">
        <v>8</v>
      </c>
      <c r="B9" s="7" t="s">
        <v>9</v>
      </c>
      <c r="C9" s="7">
        <v>17</v>
      </c>
      <c r="D9" s="7" t="s">
        <v>66</v>
      </c>
      <c r="E9" s="7" t="s">
        <v>66</v>
      </c>
      <c r="F9" s="14" t="b">
        <f>TRUE()</f>
        <v>1</v>
      </c>
      <c r="G9" s="7" t="s">
        <v>75</v>
      </c>
      <c r="H9" s="7" t="str">
        <f t="shared" si="0"/>
        <v>gpt|no_guideline|17</v>
      </c>
    </row>
    <row r="10" spans="1:8" x14ac:dyDescent="0.2">
      <c r="A10" s="7" t="s">
        <v>8</v>
      </c>
      <c r="B10" s="7" t="s">
        <v>9</v>
      </c>
      <c r="C10" s="7">
        <v>18</v>
      </c>
      <c r="D10" s="7" t="s">
        <v>69</v>
      </c>
      <c r="E10" s="7" t="s">
        <v>66</v>
      </c>
      <c r="F10" s="15" t="b">
        <f>FALSE()</f>
        <v>0</v>
      </c>
      <c r="G10" s="7" t="s">
        <v>76</v>
      </c>
      <c r="H10" s="7" t="str">
        <f t="shared" si="0"/>
        <v>gpt|no_guideline|18</v>
      </c>
    </row>
    <row r="11" spans="1:8" x14ac:dyDescent="0.2">
      <c r="A11" s="7" t="s">
        <v>8</v>
      </c>
      <c r="B11" s="7" t="s">
        <v>9</v>
      </c>
      <c r="C11" s="7">
        <v>19</v>
      </c>
      <c r="D11" s="7" t="s">
        <v>66</v>
      </c>
      <c r="E11" s="7" t="s">
        <v>69</v>
      </c>
      <c r="F11" s="15" t="b">
        <f>FALSE()</f>
        <v>0</v>
      </c>
      <c r="G11" s="7" t="s">
        <v>77</v>
      </c>
      <c r="H11" s="7" t="str">
        <f t="shared" si="0"/>
        <v>gpt|no_guideline|19</v>
      </c>
    </row>
    <row r="12" spans="1:8" x14ac:dyDescent="0.2">
      <c r="A12" s="7" t="s">
        <v>8</v>
      </c>
      <c r="B12" s="7" t="s">
        <v>9</v>
      </c>
      <c r="C12" s="7">
        <v>20</v>
      </c>
      <c r="D12" s="7" t="s">
        <v>69</v>
      </c>
      <c r="E12" s="7" t="s">
        <v>69</v>
      </c>
      <c r="F12" s="14" t="b">
        <f>TRUE()</f>
        <v>1</v>
      </c>
      <c r="G12" s="7" t="s">
        <v>78</v>
      </c>
      <c r="H12" s="7" t="str">
        <f t="shared" si="0"/>
        <v>gpt|no_guideline|20</v>
      </c>
    </row>
    <row r="13" spans="1:8" x14ac:dyDescent="0.2">
      <c r="A13" s="7" t="s">
        <v>8</v>
      </c>
      <c r="B13" s="7" t="s">
        <v>9</v>
      </c>
      <c r="C13" s="7">
        <v>21</v>
      </c>
      <c r="D13" s="7" t="s">
        <v>69</v>
      </c>
      <c r="E13" s="7" t="s">
        <v>69</v>
      </c>
      <c r="F13" s="14" t="b">
        <f>TRUE()</f>
        <v>1</v>
      </c>
      <c r="G13" s="7" t="s">
        <v>79</v>
      </c>
      <c r="H13" s="7" t="str">
        <f t="shared" si="0"/>
        <v>gpt|no_guideline|21</v>
      </c>
    </row>
    <row r="14" spans="1:8" x14ac:dyDescent="0.2">
      <c r="A14" s="7" t="s">
        <v>8</v>
      </c>
      <c r="B14" s="7" t="s">
        <v>9</v>
      </c>
      <c r="C14" s="7">
        <v>22</v>
      </c>
      <c r="D14" s="7" t="s">
        <v>66</v>
      </c>
      <c r="E14" s="7" t="s">
        <v>66</v>
      </c>
      <c r="F14" s="14" t="b">
        <f>TRUE()</f>
        <v>1</v>
      </c>
      <c r="G14" s="7" t="s">
        <v>80</v>
      </c>
      <c r="H14" s="7" t="str">
        <f t="shared" si="0"/>
        <v>gpt|no_guideline|22</v>
      </c>
    </row>
    <row r="15" spans="1:8" x14ac:dyDescent="0.2">
      <c r="A15" s="7" t="s">
        <v>8</v>
      </c>
      <c r="B15" s="7" t="s">
        <v>9</v>
      </c>
      <c r="C15" s="7">
        <v>31</v>
      </c>
      <c r="D15" s="7" t="s">
        <v>69</v>
      </c>
      <c r="E15" s="7" t="s">
        <v>66</v>
      </c>
      <c r="F15" s="15" t="b">
        <f>FALSE()</f>
        <v>0</v>
      </c>
      <c r="G15" s="7" t="s">
        <v>81</v>
      </c>
      <c r="H15" s="7" t="str">
        <f t="shared" si="0"/>
        <v>gpt|no_guideline|31</v>
      </c>
    </row>
    <row r="16" spans="1:8" x14ac:dyDescent="0.2">
      <c r="A16" s="7" t="s">
        <v>8</v>
      </c>
      <c r="B16" s="7" t="s">
        <v>9</v>
      </c>
      <c r="C16" s="7">
        <v>32</v>
      </c>
      <c r="D16" s="7" t="s">
        <v>82</v>
      </c>
      <c r="E16" s="7" t="s">
        <v>69</v>
      </c>
      <c r="F16" s="15" t="b">
        <f>FALSE()</f>
        <v>0</v>
      </c>
      <c r="G16" s="7" t="s">
        <v>83</v>
      </c>
      <c r="H16" s="7" t="str">
        <f t="shared" si="0"/>
        <v>gpt|no_guideline|32</v>
      </c>
    </row>
    <row r="17" spans="1:8" x14ac:dyDescent="0.2">
      <c r="A17" s="7" t="s">
        <v>8</v>
      </c>
      <c r="B17" s="7" t="s">
        <v>9</v>
      </c>
      <c r="C17" s="7">
        <v>41</v>
      </c>
      <c r="D17" s="7" t="s">
        <v>82</v>
      </c>
      <c r="E17" s="7" t="s">
        <v>82</v>
      </c>
      <c r="F17" s="14" t="b">
        <f>TRUE()</f>
        <v>1</v>
      </c>
      <c r="G17" s="7" t="s">
        <v>84</v>
      </c>
      <c r="H17" s="7" t="str">
        <f t="shared" si="0"/>
        <v>gpt|no_guideline|41</v>
      </c>
    </row>
    <row r="18" spans="1:8" x14ac:dyDescent="0.2">
      <c r="A18" s="7" t="s">
        <v>8</v>
      </c>
      <c r="B18" s="7" t="s">
        <v>9</v>
      </c>
      <c r="C18" s="7">
        <v>42</v>
      </c>
      <c r="D18" s="7" t="s">
        <v>82</v>
      </c>
      <c r="E18" s="7" t="s">
        <v>82</v>
      </c>
      <c r="F18" s="14" t="b">
        <f>TRUE()</f>
        <v>1</v>
      </c>
      <c r="G18" s="7" t="s">
        <v>85</v>
      </c>
      <c r="H18" s="7" t="str">
        <f t="shared" si="0"/>
        <v>gpt|no_guideline|42</v>
      </c>
    </row>
    <row r="19" spans="1:8" x14ac:dyDescent="0.2">
      <c r="A19" s="7" t="s">
        <v>8</v>
      </c>
      <c r="B19" s="7" t="s">
        <v>9</v>
      </c>
      <c r="C19" s="7">
        <v>51</v>
      </c>
      <c r="D19" s="7" t="s">
        <v>69</v>
      </c>
      <c r="E19" s="7" t="s">
        <v>69</v>
      </c>
      <c r="F19" s="14" t="b">
        <f>TRUE()</f>
        <v>1</v>
      </c>
      <c r="G19" s="7" t="s">
        <v>86</v>
      </c>
      <c r="H19" s="7" t="str">
        <f t="shared" si="0"/>
        <v>gpt|no_guideline|51</v>
      </c>
    </row>
    <row r="20" spans="1:8" x14ac:dyDescent="0.2">
      <c r="A20" s="7" t="s">
        <v>8</v>
      </c>
      <c r="B20" s="7" t="s">
        <v>9</v>
      </c>
      <c r="C20" s="7">
        <v>52</v>
      </c>
      <c r="D20" s="7" t="s">
        <v>69</v>
      </c>
      <c r="E20" s="7" t="s">
        <v>82</v>
      </c>
      <c r="F20" s="15" t="b">
        <f>FALSE()</f>
        <v>0</v>
      </c>
      <c r="G20" s="7" t="s">
        <v>87</v>
      </c>
      <c r="H20" s="7" t="str">
        <f t="shared" si="0"/>
        <v>gpt|no_guideline|52</v>
      </c>
    </row>
    <row r="21" spans="1:8" x14ac:dyDescent="0.2">
      <c r="A21" s="7" t="s">
        <v>8</v>
      </c>
      <c r="B21" s="7" t="s">
        <v>9</v>
      </c>
      <c r="C21" s="7">
        <v>61</v>
      </c>
      <c r="D21" s="7" t="s">
        <v>66</v>
      </c>
      <c r="E21" s="7" t="s">
        <v>66</v>
      </c>
      <c r="F21" s="14" t="b">
        <f>TRUE()</f>
        <v>1</v>
      </c>
      <c r="G21" s="7" t="s">
        <v>75</v>
      </c>
      <c r="H21" s="7" t="str">
        <f t="shared" si="0"/>
        <v>gpt|no_guideline|61</v>
      </c>
    </row>
    <row r="22" spans="1:8" x14ac:dyDescent="0.2">
      <c r="A22" s="7" t="s">
        <v>8</v>
      </c>
      <c r="B22" s="7" t="s">
        <v>9</v>
      </c>
      <c r="C22" s="7">
        <v>62</v>
      </c>
      <c r="D22" s="7" t="s">
        <v>69</v>
      </c>
      <c r="E22" s="7" t="s">
        <v>69</v>
      </c>
      <c r="F22" s="14" t="b">
        <f>TRUE()</f>
        <v>1</v>
      </c>
      <c r="G22" s="7" t="s">
        <v>76</v>
      </c>
      <c r="H22" s="7" t="str">
        <f t="shared" si="0"/>
        <v>gpt|no_guideline|62</v>
      </c>
    </row>
    <row r="23" spans="1:8" x14ac:dyDescent="0.2">
      <c r="A23" s="7" t="s">
        <v>8</v>
      </c>
      <c r="B23" s="7" t="s">
        <v>9</v>
      </c>
      <c r="C23" s="7">
        <v>63</v>
      </c>
      <c r="D23" s="7" t="s">
        <v>69</v>
      </c>
      <c r="E23" s="7" t="s">
        <v>66</v>
      </c>
      <c r="F23" s="15" t="b">
        <f>FALSE()</f>
        <v>0</v>
      </c>
      <c r="G23" s="7" t="s">
        <v>88</v>
      </c>
      <c r="H23" s="7" t="str">
        <f t="shared" si="0"/>
        <v>gpt|no_guideline|63</v>
      </c>
    </row>
    <row r="24" spans="1:8" x14ac:dyDescent="0.2">
      <c r="A24" s="7" t="s">
        <v>8</v>
      </c>
      <c r="B24" s="7" t="s">
        <v>9</v>
      </c>
      <c r="C24" s="7">
        <v>64</v>
      </c>
      <c r="D24" s="7" t="s">
        <v>66</v>
      </c>
      <c r="E24" s="7" t="s">
        <v>69</v>
      </c>
      <c r="F24" s="15" t="b">
        <f>FALSE()</f>
        <v>0</v>
      </c>
      <c r="G24" s="7" t="s">
        <v>77</v>
      </c>
      <c r="H24" s="7" t="str">
        <f t="shared" si="0"/>
        <v>gpt|no_guideline|64</v>
      </c>
    </row>
    <row r="25" spans="1:8" x14ac:dyDescent="0.2">
      <c r="A25" s="7" t="s">
        <v>8</v>
      </c>
      <c r="B25" s="7" t="s">
        <v>9</v>
      </c>
      <c r="C25" s="7">
        <v>65</v>
      </c>
      <c r="D25" s="7" t="s">
        <v>69</v>
      </c>
      <c r="E25" s="7" t="s">
        <v>69</v>
      </c>
      <c r="F25" s="14" t="b">
        <f>TRUE()</f>
        <v>1</v>
      </c>
      <c r="G25" s="7" t="s">
        <v>78</v>
      </c>
      <c r="H25" s="7" t="str">
        <f t="shared" si="0"/>
        <v>gpt|no_guideline|65</v>
      </c>
    </row>
    <row r="26" spans="1:8" x14ac:dyDescent="0.2">
      <c r="A26" s="7" t="s">
        <v>8</v>
      </c>
      <c r="B26" s="7" t="s">
        <v>9</v>
      </c>
      <c r="C26" s="7">
        <v>66</v>
      </c>
      <c r="D26" s="7" t="s">
        <v>66</v>
      </c>
      <c r="E26" s="7" t="s">
        <v>69</v>
      </c>
      <c r="F26" s="15" t="b">
        <f>FALSE()</f>
        <v>0</v>
      </c>
      <c r="G26" s="7" t="s">
        <v>89</v>
      </c>
      <c r="H26" s="7" t="str">
        <f t="shared" si="0"/>
        <v>gpt|no_guideline|66</v>
      </c>
    </row>
    <row r="27" spans="1:8" x14ac:dyDescent="0.2">
      <c r="A27" s="7" t="s">
        <v>8</v>
      </c>
      <c r="B27" s="7" t="s">
        <v>9</v>
      </c>
      <c r="C27" s="7">
        <v>67</v>
      </c>
      <c r="D27" s="7" t="s">
        <v>69</v>
      </c>
      <c r="E27" s="7" t="s">
        <v>69</v>
      </c>
      <c r="F27" s="14" t="b">
        <f>TRUE()</f>
        <v>1</v>
      </c>
      <c r="G27" s="7" t="s">
        <v>90</v>
      </c>
      <c r="H27" s="7" t="str">
        <f t="shared" si="0"/>
        <v>gpt|no_guideline|67</v>
      </c>
    </row>
    <row r="28" spans="1:8" x14ac:dyDescent="0.2">
      <c r="A28" s="7" t="s">
        <v>8</v>
      </c>
      <c r="B28" s="7" t="s">
        <v>9</v>
      </c>
      <c r="C28" s="7">
        <v>68</v>
      </c>
      <c r="D28" s="7" t="s">
        <v>66</v>
      </c>
      <c r="E28" s="7" t="s">
        <v>69</v>
      </c>
      <c r="F28" s="15" t="b">
        <f>FALSE()</f>
        <v>0</v>
      </c>
      <c r="G28" s="7" t="s">
        <v>91</v>
      </c>
      <c r="H28" s="7" t="str">
        <f t="shared" si="0"/>
        <v>gpt|no_guideline|68</v>
      </c>
    </row>
    <row r="29" spans="1:8" x14ac:dyDescent="0.2">
      <c r="A29" s="7" t="s">
        <v>8</v>
      </c>
      <c r="B29" s="7" t="s">
        <v>27</v>
      </c>
      <c r="C29" s="7">
        <v>1</v>
      </c>
      <c r="D29" s="7" t="s">
        <v>66</v>
      </c>
      <c r="E29" s="7" t="s">
        <v>66</v>
      </c>
      <c r="F29" s="14" t="b">
        <f>TRUE()</f>
        <v>1</v>
      </c>
      <c r="G29" s="7" t="s">
        <v>67</v>
      </c>
      <c r="H29" s="7" t="str">
        <f t="shared" si="0"/>
        <v>gpt|with_guideline|1</v>
      </c>
    </row>
    <row r="30" spans="1:8" x14ac:dyDescent="0.2">
      <c r="A30" s="7" t="s">
        <v>8</v>
      </c>
      <c r="B30" s="7" t="s">
        <v>27</v>
      </c>
      <c r="C30" s="7">
        <v>11</v>
      </c>
      <c r="D30" s="7" t="s">
        <v>66</v>
      </c>
      <c r="E30" s="7" t="s">
        <v>66</v>
      </c>
      <c r="F30" s="14" t="b">
        <f>TRUE()</f>
        <v>1</v>
      </c>
      <c r="G30" s="7" t="s">
        <v>68</v>
      </c>
      <c r="H30" s="7" t="str">
        <f t="shared" si="0"/>
        <v>gpt|with_guideline|11</v>
      </c>
    </row>
    <row r="31" spans="1:8" x14ac:dyDescent="0.2">
      <c r="A31" s="7" t="s">
        <v>8</v>
      </c>
      <c r="B31" s="7" t="s">
        <v>27</v>
      </c>
      <c r="C31" s="7">
        <v>12</v>
      </c>
      <c r="D31" s="7" t="s">
        <v>69</v>
      </c>
      <c r="E31" s="7" t="s">
        <v>66</v>
      </c>
      <c r="F31" s="15" t="b">
        <f>FALSE()</f>
        <v>0</v>
      </c>
      <c r="G31" s="7" t="s">
        <v>70</v>
      </c>
      <c r="H31" s="7" t="str">
        <f t="shared" si="0"/>
        <v>gpt|with_guideline|12</v>
      </c>
    </row>
    <row r="32" spans="1:8" x14ac:dyDescent="0.2">
      <c r="A32" s="7" t="s">
        <v>8</v>
      </c>
      <c r="B32" s="7" t="s">
        <v>27</v>
      </c>
      <c r="C32" s="7">
        <v>13</v>
      </c>
      <c r="D32" s="7" t="s">
        <v>66</v>
      </c>
      <c r="E32" s="7" t="s">
        <v>66</v>
      </c>
      <c r="F32" s="14" t="b">
        <f>TRUE()</f>
        <v>1</v>
      </c>
      <c r="G32" s="7" t="s">
        <v>71</v>
      </c>
      <c r="H32" s="7" t="str">
        <f t="shared" si="0"/>
        <v>gpt|with_guideline|13</v>
      </c>
    </row>
    <row r="33" spans="1:8" x14ac:dyDescent="0.2">
      <c r="A33" s="7" t="s">
        <v>8</v>
      </c>
      <c r="B33" s="7" t="s">
        <v>27</v>
      </c>
      <c r="C33" s="7">
        <v>14</v>
      </c>
      <c r="D33" s="7" t="s">
        <v>69</v>
      </c>
      <c r="E33" s="7" t="s">
        <v>69</v>
      </c>
      <c r="F33" s="14" t="b">
        <f>TRUE()</f>
        <v>1</v>
      </c>
      <c r="G33" s="7" t="s">
        <v>72</v>
      </c>
      <c r="H33" s="7" t="str">
        <f t="shared" si="0"/>
        <v>gpt|with_guideline|14</v>
      </c>
    </row>
    <row r="34" spans="1:8" x14ac:dyDescent="0.2">
      <c r="A34" s="7" t="s">
        <v>8</v>
      </c>
      <c r="B34" s="7" t="s">
        <v>27</v>
      </c>
      <c r="C34" s="7">
        <v>15</v>
      </c>
      <c r="D34" s="7" t="s">
        <v>66</v>
      </c>
      <c r="E34" s="7" t="s">
        <v>66</v>
      </c>
      <c r="F34" s="14" t="b">
        <f>TRUE()</f>
        <v>1</v>
      </c>
      <c r="G34" s="7" t="s">
        <v>73</v>
      </c>
      <c r="H34" s="7" t="str">
        <f t="shared" si="0"/>
        <v>gpt|with_guideline|15</v>
      </c>
    </row>
    <row r="35" spans="1:8" x14ac:dyDescent="0.2">
      <c r="A35" s="7" t="s">
        <v>8</v>
      </c>
      <c r="B35" s="7" t="s">
        <v>27</v>
      </c>
      <c r="C35" s="7">
        <v>16</v>
      </c>
      <c r="D35" s="7" t="s">
        <v>69</v>
      </c>
      <c r="E35" s="7" t="s">
        <v>69</v>
      </c>
      <c r="F35" s="14" t="b">
        <f>TRUE()</f>
        <v>1</v>
      </c>
      <c r="G35" s="7" t="s">
        <v>74</v>
      </c>
      <c r="H35" s="7" t="str">
        <f t="shared" si="0"/>
        <v>gpt|with_guideline|16</v>
      </c>
    </row>
    <row r="36" spans="1:8" x14ac:dyDescent="0.2">
      <c r="A36" s="7" t="s">
        <v>8</v>
      </c>
      <c r="B36" s="7" t="s">
        <v>27</v>
      </c>
      <c r="C36" s="7">
        <v>17</v>
      </c>
      <c r="D36" s="7" t="s">
        <v>66</v>
      </c>
      <c r="E36" s="7" t="s">
        <v>66</v>
      </c>
      <c r="F36" s="14" t="b">
        <f>TRUE()</f>
        <v>1</v>
      </c>
      <c r="G36" s="7" t="s">
        <v>75</v>
      </c>
      <c r="H36" s="7" t="str">
        <f t="shared" si="0"/>
        <v>gpt|with_guideline|17</v>
      </c>
    </row>
    <row r="37" spans="1:8" x14ac:dyDescent="0.2">
      <c r="A37" s="7" t="s">
        <v>8</v>
      </c>
      <c r="B37" s="7" t="s">
        <v>27</v>
      </c>
      <c r="C37" s="7">
        <v>18</v>
      </c>
      <c r="D37" s="7" t="s">
        <v>69</v>
      </c>
      <c r="E37" s="7" t="s">
        <v>66</v>
      </c>
      <c r="F37" s="15" t="b">
        <f>FALSE()</f>
        <v>0</v>
      </c>
      <c r="G37" s="7" t="s">
        <v>76</v>
      </c>
      <c r="H37" s="7" t="str">
        <f t="shared" si="0"/>
        <v>gpt|with_guideline|18</v>
      </c>
    </row>
    <row r="38" spans="1:8" x14ac:dyDescent="0.2">
      <c r="A38" s="7" t="s">
        <v>8</v>
      </c>
      <c r="B38" s="7" t="s">
        <v>27</v>
      </c>
      <c r="C38" s="7">
        <v>19</v>
      </c>
      <c r="D38" s="7" t="s">
        <v>66</v>
      </c>
      <c r="E38" s="7" t="s">
        <v>69</v>
      </c>
      <c r="F38" s="15" t="b">
        <f>FALSE()</f>
        <v>0</v>
      </c>
      <c r="G38" s="7" t="s">
        <v>77</v>
      </c>
      <c r="H38" s="7" t="str">
        <f t="shared" si="0"/>
        <v>gpt|with_guideline|19</v>
      </c>
    </row>
    <row r="39" spans="1:8" x14ac:dyDescent="0.2">
      <c r="A39" s="7" t="s">
        <v>8</v>
      </c>
      <c r="B39" s="7" t="s">
        <v>27</v>
      </c>
      <c r="C39" s="7">
        <v>20</v>
      </c>
      <c r="D39" s="7" t="s">
        <v>69</v>
      </c>
      <c r="E39" s="7" t="s">
        <v>69</v>
      </c>
      <c r="F39" s="14" t="b">
        <f>TRUE()</f>
        <v>1</v>
      </c>
      <c r="G39" s="7" t="s">
        <v>78</v>
      </c>
      <c r="H39" s="7" t="str">
        <f t="shared" si="0"/>
        <v>gpt|with_guideline|20</v>
      </c>
    </row>
    <row r="40" spans="1:8" x14ac:dyDescent="0.2">
      <c r="A40" s="7" t="s">
        <v>8</v>
      </c>
      <c r="B40" s="7" t="s">
        <v>27</v>
      </c>
      <c r="C40" s="7">
        <v>21</v>
      </c>
      <c r="D40" s="7" t="s">
        <v>69</v>
      </c>
      <c r="E40" s="7" t="s">
        <v>69</v>
      </c>
      <c r="F40" s="14" t="b">
        <f>TRUE()</f>
        <v>1</v>
      </c>
      <c r="G40" s="7" t="s">
        <v>79</v>
      </c>
      <c r="H40" s="7" t="str">
        <f t="shared" si="0"/>
        <v>gpt|with_guideline|21</v>
      </c>
    </row>
    <row r="41" spans="1:8" x14ac:dyDescent="0.2">
      <c r="A41" s="7" t="s">
        <v>8</v>
      </c>
      <c r="B41" s="7" t="s">
        <v>27</v>
      </c>
      <c r="C41" s="7">
        <v>22</v>
      </c>
      <c r="D41" s="7" t="s">
        <v>66</v>
      </c>
      <c r="E41" s="7" t="s">
        <v>66</v>
      </c>
      <c r="F41" s="14" t="b">
        <f>TRUE()</f>
        <v>1</v>
      </c>
      <c r="G41" s="7" t="s">
        <v>80</v>
      </c>
      <c r="H41" s="7" t="str">
        <f t="shared" si="0"/>
        <v>gpt|with_guideline|22</v>
      </c>
    </row>
    <row r="42" spans="1:8" x14ac:dyDescent="0.2">
      <c r="A42" s="7" t="s">
        <v>8</v>
      </c>
      <c r="B42" s="7" t="s">
        <v>27</v>
      </c>
      <c r="C42" s="7">
        <v>31</v>
      </c>
      <c r="D42" s="7" t="s">
        <v>69</v>
      </c>
      <c r="E42" s="7" t="s">
        <v>69</v>
      </c>
      <c r="F42" s="14" t="b">
        <f>TRUE()</f>
        <v>1</v>
      </c>
      <c r="G42" s="7" t="s">
        <v>81</v>
      </c>
      <c r="H42" s="7" t="str">
        <f t="shared" si="0"/>
        <v>gpt|with_guideline|31</v>
      </c>
    </row>
    <row r="43" spans="1:8" x14ac:dyDescent="0.2">
      <c r="A43" s="7" t="s">
        <v>8</v>
      </c>
      <c r="B43" s="7" t="s">
        <v>27</v>
      </c>
      <c r="C43" s="7">
        <v>32</v>
      </c>
      <c r="D43" s="7" t="s">
        <v>82</v>
      </c>
      <c r="E43" s="7" t="s">
        <v>82</v>
      </c>
      <c r="F43" s="14" t="b">
        <f>TRUE()</f>
        <v>1</v>
      </c>
      <c r="G43" s="7" t="s">
        <v>83</v>
      </c>
      <c r="H43" s="7" t="str">
        <f t="shared" si="0"/>
        <v>gpt|with_guideline|32</v>
      </c>
    </row>
    <row r="44" spans="1:8" x14ac:dyDescent="0.2">
      <c r="A44" s="7" t="s">
        <v>8</v>
      </c>
      <c r="B44" s="7" t="s">
        <v>27</v>
      </c>
      <c r="C44" s="7">
        <v>41</v>
      </c>
      <c r="D44" s="7" t="s">
        <v>82</v>
      </c>
      <c r="E44" s="7" t="s">
        <v>82</v>
      </c>
      <c r="F44" s="14" t="b">
        <f>TRUE()</f>
        <v>1</v>
      </c>
      <c r="G44" s="7" t="s">
        <v>84</v>
      </c>
      <c r="H44" s="7" t="str">
        <f t="shared" si="0"/>
        <v>gpt|with_guideline|41</v>
      </c>
    </row>
    <row r="45" spans="1:8" x14ac:dyDescent="0.2">
      <c r="A45" s="7" t="s">
        <v>8</v>
      </c>
      <c r="B45" s="7" t="s">
        <v>27</v>
      </c>
      <c r="C45" s="7">
        <v>42</v>
      </c>
      <c r="D45" s="7" t="s">
        <v>82</v>
      </c>
      <c r="E45" s="7" t="s">
        <v>82</v>
      </c>
      <c r="F45" s="14" t="b">
        <f>TRUE()</f>
        <v>1</v>
      </c>
      <c r="G45" s="7" t="s">
        <v>85</v>
      </c>
      <c r="H45" s="7" t="str">
        <f t="shared" si="0"/>
        <v>gpt|with_guideline|42</v>
      </c>
    </row>
    <row r="46" spans="1:8" x14ac:dyDescent="0.2">
      <c r="A46" s="7" t="s">
        <v>8</v>
      </c>
      <c r="B46" s="7" t="s">
        <v>27</v>
      </c>
      <c r="C46" s="7">
        <v>51</v>
      </c>
      <c r="D46" s="7" t="s">
        <v>69</v>
      </c>
      <c r="E46" s="7" t="s">
        <v>69</v>
      </c>
      <c r="F46" s="14" t="b">
        <f>TRUE()</f>
        <v>1</v>
      </c>
      <c r="G46" s="7" t="s">
        <v>86</v>
      </c>
      <c r="H46" s="7" t="str">
        <f t="shared" si="0"/>
        <v>gpt|with_guideline|51</v>
      </c>
    </row>
    <row r="47" spans="1:8" x14ac:dyDescent="0.2">
      <c r="A47" s="7" t="s">
        <v>8</v>
      </c>
      <c r="B47" s="7" t="s">
        <v>27</v>
      </c>
      <c r="C47" s="7">
        <v>52</v>
      </c>
      <c r="D47" s="7" t="s">
        <v>69</v>
      </c>
      <c r="E47" s="7" t="s">
        <v>82</v>
      </c>
      <c r="F47" s="15" t="b">
        <f>FALSE()</f>
        <v>0</v>
      </c>
      <c r="G47" s="7" t="s">
        <v>87</v>
      </c>
      <c r="H47" s="7" t="str">
        <f t="shared" si="0"/>
        <v>gpt|with_guideline|52</v>
      </c>
    </row>
    <row r="48" spans="1:8" x14ac:dyDescent="0.2">
      <c r="A48" s="7" t="s">
        <v>8</v>
      </c>
      <c r="B48" s="7" t="s">
        <v>27</v>
      </c>
      <c r="C48" s="7">
        <v>61</v>
      </c>
      <c r="D48" s="7" t="s">
        <v>66</v>
      </c>
      <c r="E48" s="7" t="s">
        <v>66</v>
      </c>
      <c r="F48" s="14" t="b">
        <f>TRUE()</f>
        <v>1</v>
      </c>
      <c r="G48" s="7" t="s">
        <v>75</v>
      </c>
      <c r="H48" s="7" t="str">
        <f t="shared" si="0"/>
        <v>gpt|with_guideline|61</v>
      </c>
    </row>
    <row r="49" spans="1:8" x14ac:dyDescent="0.2">
      <c r="A49" s="7" t="s">
        <v>8</v>
      </c>
      <c r="B49" s="7" t="s">
        <v>27</v>
      </c>
      <c r="C49" s="7">
        <v>62</v>
      </c>
      <c r="D49" s="7" t="s">
        <v>69</v>
      </c>
      <c r="E49" s="7" t="s">
        <v>66</v>
      </c>
      <c r="F49" s="15" t="b">
        <f>FALSE()</f>
        <v>0</v>
      </c>
      <c r="G49" s="7" t="s">
        <v>76</v>
      </c>
      <c r="H49" s="7" t="str">
        <f t="shared" si="0"/>
        <v>gpt|with_guideline|62</v>
      </c>
    </row>
    <row r="50" spans="1:8" x14ac:dyDescent="0.2">
      <c r="A50" s="7" t="s">
        <v>8</v>
      </c>
      <c r="B50" s="7" t="s">
        <v>27</v>
      </c>
      <c r="C50" s="7">
        <v>63</v>
      </c>
      <c r="D50" s="7" t="s">
        <v>69</v>
      </c>
      <c r="E50" s="7" t="s">
        <v>69</v>
      </c>
      <c r="F50" s="14" t="b">
        <f>TRUE()</f>
        <v>1</v>
      </c>
      <c r="G50" s="7" t="s">
        <v>88</v>
      </c>
      <c r="H50" s="7" t="str">
        <f t="shared" si="0"/>
        <v>gpt|with_guideline|63</v>
      </c>
    </row>
    <row r="51" spans="1:8" x14ac:dyDescent="0.2">
      <c r="A51" s="7" t="s">
        <v>8</v>
      </c>
      <c r="B51" s="7" t="s">
        <v>27</v>
      </c>
      <c r="C51" s="7">
        <v>64</v>
      </c>
      <c r="D51" s="7" t="s">
        <v>66</v>
      </c>
      <c r="E51" s="7" t="s">
        <v>66</v>
      </c>
      <c r="F51" s="14" t="b">
        <f>TRUE()</f>
        <v>1</v>
      </c>
      <c r="G51" s="7" t="s">
        <v>77</v>
      </c>
      <c r="H51" s="7" t="str">
        <f t="shared" si="0"/>
        <v>gpt|with_guideline|64</v>
      </c>
    </row>
    <row r="52" spans="1:8" x14ac:dyDescent="0.2">
      <c r="A52" s="7" t="s">
        <v>8</v>
      </c>
      <c r="B52" s="7" t="s">
        <v>27</v>
      </c>
      <c r="C52" s="7">
        <v>65</v>
      </c>
      <c r="D52" s="7" t="s">
        <v>69</v>
      </c>
      <c r="E52" s="7" t="s">
        <v>69</v>
      </c>
      <c r="F52" s="14" t="b">
        <f>TRUE()</f>
        <v>1</v>
      </c>
      <c r="G52" s="7" t="s">
        <v>78</v>
      </c>
      <c r="H52" s="7" t="str">
        <f t="shared" si="0"/>
        <v>gpt|with_guideline|65</v>
      </c>
    </row>
    <row r="53" spans="1:8" x14ac:dyDescent="0.2">
      <c r="A53" s="7" t="s">
        <v>8</v>
      </c>
      <c r="B53" s="7" t="s">
        <v>27</v>
      </c>
      <c r="C53" s="7">
        <v>66</v>
      </c>
      <c r="D53" s="7" t="s">
        <v>66</v>
      </c>
      <c r="E53" s="7" t="s">
        <v>66</v>
      </c>
      <c r="F53" s="14" t="b">
        <f>TRUE()</f>
        <v>1</v>
      </c>
      <c r="G53" s="7" t="s">
        <v>89</v>
      </c>
      <c r="H53" s="7" t="str">
        <f t="shared" si="0"/>
        <v>gpt|with_guideline|66</v>
      </c>
    </row>
    <row r="54" spans="1:8" x14ac:dyDescent="0.2">
      <c r="A54" s="7" t="s">
        <v>8</v>
      </c>
      <c r="B54" s="7" t="s">
        <v>27</v>
      </c>
      <c r="C54" s="7">
        <v>67</v>
      </c>
      <c r="D54" s="7" t="s">
        <v>69</v>
      </c>
      <c r="E54" s="7" t="s">
        <v>69</v>
      </c>
      <c r="F54" s="14" t="b">
        <f>TRUE()</f>
        <v>1</v>
      </c>
      <c r="G54" s="7" t="s">
        <v>90</v>
      </c>
      <c r="H54" s="7" t="str">
        <f t="shared" si="0"/>
        <v>gpt|with_guideline|67</v>
      </c>
    </row>
    <row r="55" spans="1:8" x14ac:dyDescent="0.2">
      <c r="A55" s="7" t="s">
        <v>8</v>
      </c>
      <c r="B55" s="7" t="s">
        <v>27</v>
      </c>
      <c r="C55" s="7">
        <v>68</v>
      </c>
      <c r="D55" s="7" t="s">
        <v>66</v>
      </c>
      <c r="E55" s="7" t="s">
        <v>69</v>
      </c>
      <c r="F55" s="15" t="b">
        <f>FALSE()</f>
        <v>0</v>
      </c>
      <c r="G55" s="7" t="s">
        <v>91</v>
      </c>
      <c r="H55" s="7" t="str">
        <f t="shared" si="0"/>
        <v>gpt|with_guideline|68</v>
      </c>
    </row>
    <row r="56" spans="1:8" x14ac:dyDescent="0.2">
      <c r="A56" s="7" t="s">
        <v>28</v>
      </c>
      <c r="B56" s="7" t="s">
        <v>9</v>
      </c>
      <c r="C56" s="7">
        <v>1</v>
      </c>
      <c r="D56" s="7" t="s">
        <v>66</v>
      </c>
      <c r="E56" s="7" t="s">
        <v>29</v>
      </c>
      <c r="F56" s="15" t="b">
        <f>FALSE()</f>
        <v>0</v>
      </c>
      <c r="G56" s="7" t="s">
        <v>67</v>
      </c>
      <c r="H56" s="7" t="str">
        <f t="shared" si="0"/>
        <v>claude|no_guideline|1</v>
      </c>
    </row>
    <row r="57" spans="1:8" x14ac:dyDescent="0.2">
      <c r="A57" s="7" t="s">
        <v>28</v>
      </c>
      <c r="B57" s="7" t="s">
        <v>9</v>
      </c>
      <c r="C57" s="7">
        <v>11</v>
      </c>
      <c r="D57" s="7" t="s">
        <v>66</v>
      </c>
      <c r="E57" s="7" t="s">
        <v>29</v>
      </c>
      <c r="F57" s="15" t="b">
        <f>FALSE()</f>
        <v>0</v>
      </c>
      <c r="G57" s="7" t="s">
        <v>68</v>
      </c>
      <c r="H57" s="7" t="str">
        <f t="shared" si="0"/>
        <v>claude|no_guideline|11</v>
      </c>
    </row>
    <row r="58" spans="1:8" x14ac:dyDescent="0.2">
      <c r="A58" s="7" t="s">
        <v>28</v>
      </c>
      <c r="B58" s="7" t="s">
        <v>9</v>
      </c>
      <c r="C58" s="7">
        <v>12</v>
      </c>
      <c r="D58" s="7" t="s">
        <v>69</v>
      </c>
      <c r="E58" s="7" t="s">
        <v>29</v>
      </c>
      <c r="F58" s="15" t="b">
        <f>FALSE()</f>
        <v>0</v>
      </c>
      <c r="G58" s="7" t="s">
        <v>70</v>
      </c>
      <c r="H58" s="7" t="str">
        <f t="shared" si="0"/>
        <v>claude|no_guideline|12</v>
      </c>
    </row>
    <row r="59" spans="1:8" x14ac:dyDescent="0.2">
      <c r="A59" s="7" t="s">
        <v>28</v>
      </c>
      <c r="B59" s="7" t="s">
        <v>9</v>
      </c>
      <c r="C59" s="7">
        <v>13</v>
      </c>
      <c r="D59" s="7" t="s">
        <v>66</v>
      </c>
      <c r="E59" s="7" t="s">
        <v>29</v>
      </c>
      <c r="F59" s="15" t="b">
        <f>FALSE()</f>
        <v>0</v>
      </c>
      <c r="G59" s="7" t="s">
        <v>71</v>
      </c>
      <c r="H59" s="7" t="str">
        <f t="shared" si="0"/>
        <v>claude|no_guideline|13</v>
      </c>
    </row>
    <row r="60" spans="1:8" x14ac:dyDescent="0.2">
      <c r="A60" s="7" t="s">
        <v>28</v>
      </c>
      <c r="B60" s="7" t="s">
        <v>9</v>
      </c>
      <c r="C60" s="7">
        <v>14</v>
      </c>
      <c r="D60" s="7" t="s">
        <v>69</v>
      </c>
      <c r="E60" s="7" t="s">
        <v>29</v>
      </c>
      <c r="F60" s="15" t="b">
        <f>FALSE()</f>
        <v>0</v>
      </c>
      <c r="G60" s="7" t="s">
        <v>72</v>
      </c>
      <c r="H60" s="7" t="str">
        <f t="shared" si="0"/>
        <v>claude|no_guideline|14</v>
      </c>
    </row>
    <row r="61" spans="1:8" x14ac:dyDescent="0.2">
      <c r="A61" s="7" t="s">
        <v>28</v>
      </c>
      <c r="B61" s="7" t="s">
        <v>9</v>
      </c>
      <c r="C61" s="7">
        <v>15</v>
      </c>
      <c r="D61" s="7" t="s">
        <v>66</v>
      </c>
      <c r="E61" s="7" t="s">
        <v>29</v>
      </c>
      <c r="F61" s="15" t="b">
        <f>FALSE()</f>
        <v>0</v>
      </c>
      <c r="G61" s="7" t="s">
        <v>73</v>
      </c>
      <c r="H61" s="7" t="str">
        <f t="shared" si="0"/>
        <v>claude|no_guideline|15</v>
      </c>
    </row>
    <row r="62" spans="1:8" x14ac:dyDescent="0.2">
      <c r="A62" s="7" t="s">
        <v>28</v>
      </c>
      <c r="B62" s="7" t="s">
        <v>9</v>
      </c>
      <c r="C62" s="7">
        <v>16</v>
      </c>
      <c r="D62" s="7" t="s">
        <v>69</v>
      </c>
      <c r="E62" s="7" t="s">
        <v>29</v>
      </c>
      <c r="F62" s="15" t="b">
        <f>FALSE()</f>
        <v>0</v>
      </c>
      <c r="G62" s="7" t="s">
        <v>74</v>
      </c>
      <c r="H62" s="7" t="str">
        <f t="shared" si="0"/>
        <v>claude|no_guideline|16</v>
      </c>
    </row>
    <row r="63" spans="1:8" x14ac:dyDescent="0.2">
      <c r="A63" s="7" t="s">
        <v>28</v>
      </c>
      <c r="B63" s="7" t="s">
        <v>9</v>
      </c>
      <c r="C63" s="7">
        <v>17</v>
      </c>
      <c r="D63" s="7" t="s">
        <v>66</v>
      </c>
      <c r="E63" s="7" t="s">
        <v>29</v>
      </c>
      <c r="F63" s="15" t="b">
        <f>FALSE()</f>
        <v>0</v>
      </c>
      <c r="G63" s="7" t="s">
        <v>75</v>
      </c>
      <c r="H63" s="7" t="str">
        <f t="shared" si="0"/>
        <v>claude|no_guideline|17</v>
      </c>
    </row>
    <row r="64" spans="1:8" x14ac:dyDescent="0.2">
      <c r="A64" s="7" t="s">
        <v>28</v>
      </c>
      <c r="B64" s="7" t="s">
        <v>9</v>
      </c>
      <c r="C64" s="7">
        <v>18</v>
      </c>
      <c r="D64" s="7" t="s">
        <v>69</v>
      </c>
      <c r="E64" s="7" t="s">
        <v>29</v>
      </c>
      <c r="F64" s="15" t="b">
        <f>FALSE()</f>
        <v>0</v>
      </c>
      <c r="G64" s="7" t="s">
        <v>76</v>
      </c>
      <c r="H64" s="7" t="str">
        <f t="shared" si="0"/>
        <v>claude|no_guideline|18</v>
      </c>
    </row>
    <row r="65" spans="1:8" x14ac:dyDescent="0.2">
      <c r="A65" s="7" t="s">
        <v>28</v>
      </c>
      <c r="B65" s="7" t="s">
        <v>9</v>
      </c>
      <c r="C65" s="7">
        <v>19</v>
      </c>
      <c r="D65" s="7" t="s">
        <v>66</v>
      </c>
      <c r="E65" s="7" t="s">
        <v>29</v>
      </c>
      <c r="F65" s="15" t="b">
        <f>FALSE()</f>
        <v>0</v>
      </c>
      <c r="G65" s="7" t="s">
        <v>77</v>
      </c>
      <c r="H65" s="7" t="str">
        <f t="shared" si="0"/>
        <v>claude|no_guideline|19</v>
      </c>
    </row>
    <row r="66" spans="1:8" x14ac:dyDescent="0.2">
      <c r="A66" s="7" t="s">
        <v>28</v>
      </c>
      <c r="B66" s="7" t="s">
        <v>9</v>
      </c>
      <c r="C66" s="7">
        <v>20</v>
      </c>
      <c r="D66" s="7" t="s">
        <v>69</v>
      </c>
      <c r="E66" s="7" t="s">
        <v>29</v>
      </c>
      <c r="F66" s="15" t="b">
        <f>FALSE()</f>
        <v>0</v>
      </c>
      <c r="G66" s="7" t="s">
        <v>78</v>
      </c>
      <c r="H66" s="7" t="str">
        <f t="shared" ref="H66:H129" si="1">A66&amp;"|"&amp;B66&amp;"|"&amp;C66</f>
        <v>claude|no_guideline|20</v>
      </c>
    </row>
    <row r="67" spans="1:8" x14ac:dyDescent="0.2">
      <c r="A67" s="7" t="s">
        <v>28</v>
      </c>
      <c r="B67" s="7" t="s">
        <v>9</v>
      </c>
      <c r="C67" s="7">
        <v>21</v>
      </c>
      <c r="D67" s="7" t="s">
        <v>69</v>
      </c>
      <c r="E67" s="7" t="s">
        <v>29</v>
      </c>
      <c r="F67" s="15" t="b">
        <f>FALSE()</f>
        <v>0</v>
      </c>
      <c r="G67" s="7" t="s">
        <v>79</v>
      </c>
      <c r="H67" s="7" t="str">
        <f t="shared" si="1"/>
        <v>claude|no_guideline|21</v>
      </c>
    </row>
    <row r="68" spans="1:8" x14ac:dyDescent="0.2">
      <c r="A68" s="7" t="s">
        <v>28</v>
      </c>
      <c r="B68" s="7" t="s">
        <v>9</v>
      </c>
      <c r="C68" s="7">
        <v>22</v>
      </c>
      <c r="D68" s="7" t="s">
        <v>66</v>
      </c>
      <c r="E68" s="7" t="s">
        <v>29</v>
      </c>
      <c r="F68" s="15" t="b">
        <f>FALSE()</f>
        <v>0</v>
      </c>
      <c r="G68" s="7" t="s">
        <v>80</v>
      </c>
      <c r="H68" s="7" t="str">
        <f t="shared" si="1"/>
        <v>claude|no_guideline|22</v>
      </c>
    </row>
    <row r="69" spans="1:8" x14ac:dyDescent="0.2">
      <c r="A69" s="7" t="s">
        <v>28</v>
      </c>
      <c r="B69" s="7" t="s">
        <v>9</v>
      </c>
      <c r="C69" s="7">
        <v>31</v>
      </c>
      <c r="D69" s="7" t="s">
        <v>69</v>
      </c>
      <c r="E69" s="7" t="s">
        <v>29</v>
      </c>
      <c r="F69" s="15" t="b">
        <f>FALSE()</f>
        <v>0</v>
      </c>
      <c r="G69" s="7" t="s">
        <v>81</v>
      </c>
      <c r="H69" s="7" t="str">
        <f t="shared" si="1"/>
        <v>claude|no_guideline|31</v>
      </c>
    </row>
    <row r="70" spans="1:8" x14ac:dyDescent="0.2">
      <c r="A70" s="7" t="s">
        <v>28</v>
      </c>
      <c r="B70" s="7" t="s">
        <v>9</v>
      </c>
      <c r="C70" s="7">
        <v>32</v>
      </c>
      <c r="D70" s="7" t="s">
        <v>82</v>
      </c>
      <c r="E70" s="7" t="s">
        <v>29</v>
      </c>
      <c r="F70" s="15" t="b">
        <f>FALSE()</f>
        <v>0</v>
      </c>
      <c r="G70" s="7" t="s">
        <v>83</v>
      </c>
      <c r="H70" s="7" t="str">
        <f t="shared" si="1"/>
        <v>claude|no_guideline|32</v>
      </c>
    </row>
    <row r="71" spans="1:8" x14ac:dyDescent="0.2">
      <c r="A71" s="7" t="s">
        <v>28</v>
      </c>
      <c r="B71" s="7" t="s">
        <v>9</v>
      </c>
      <c r="C71" s="7">
        <v>41</v>
      </c>
      <c r="D71" s="7" t="s">
        <v>82</v>
      </c>
      <c r="E71" s="7" t="s">
        <v>29</v>
      </c>
      <c r="F71" s="15" t="b">
        <f>FALSE()</f>
        <v>0</v>
      </c>
      <c r="G71" s="7" t="s">
        <v>84</v>
      </c>
      <c r="H71" s="7" t="str">
        <f t="shared" si="1"/>
        <v>claude|no_guideline|41</v>
      </c>
    </row>
    <row r="72" spans="1:8" x14ac:dyDescent="0.2">
      <c r="A72" s="7" t="s">
        <v>28</v>
      </c>
      <c r="B72" s="7" t="s">
        <v>9</v>
      </c>
      <c r="C72" s="7">
        <v>42</v>
      </c>
      <c r="D72" s="7" t="s">
        <v>82</v>
      </c>
      <c r="E72" s="7" t="s">
        <v>29</v>
      </c>
      <c r="F72" s="15" t="b">
        <f>FALSE()</f>
        <v>0</v>
      </c>
      <c r="G72" s="7" t="s">
        <v>85</v>
      </c>
      <c r="H72" s="7" t="str">
        <f t="shared" si="1"/>
        <v>claude|no_guideline|42</v>
      </c>
    </row>
    <row r="73" spans="1:8" x14ac:dyDescent="0.2">
      <c r="A73" s="7" t="s">
        <v>28</v>
      </c>
      <c r="B73" s="7" t="s">
        <v>9</v>
      </c>
      <c r="C73" s="7">
        <v>51</v>
      </c>
      <c r="D73" s="7" t="s">
        <v>69</v>
      </c>
      <c r="E73" s="7" t="s">
        <v>29</v>
      </c>
      <c r="F73" s="15" t="b">
        <f>FALSE()</f>
        <v>0</v>
      </c>
      <c r="G73" s="7" t="s">
        <v>86</v>
      </c>
      <c r="H73" s="7" t="str">
        <f t="shared" si="1"/>
        <v>claude|no_guideline|51</v>
      </c>
    </row>
    <row r="74" spans="1:8" x14ac:dyDescent="0.2">
      <c r="A74" s="7" t="s">
        <v>28</v>
      </c>
      <c r="B74" s="7" t="s">
        <v>9</v>
      </c>
      <c r="C74" s="7">
        <v>52</v>
      </c>
      <c r="D74" s="7" t="s">
        <v>69</v>
      </c>
      <c r="E74" s="7" t="s">
        <v>29</v>
      </c>
      <c r="F74" s="15" t="b">
        <f>FALSE()</f>
        <v>0</v>
      </c>
      <c r="G74" s="7" t="s">
        <v>87</v>
      </c>
      <c r="H74" s="7" t="str">
        <f t="shared" si="1"/>
        <v>claude|no_guideline|52</v>
      </c>
    </row>
    <row r="75" spans="1:8" x14ac:dyDescent="0.2">
      <c r="A75" s="7" t="s">
        <v>28</v>
      </c>
      <c r="B75" s="7" t="s">
        <v>9</v>
      </c>
      <c r="C75" s="7">
        <v>61</v>
      </c>
      <c r="D75" s="7" t="s">
        <v>66</v>
      </c>
      <c r="E75" s="7" t="s">
        <v>29</v>
      </c>
      <c r="F75" s="15" t="b">
        <f>FALSE()</f>
        <v>0</v>
      </c>
      <c r="G75" s="7" t="s">
        <v>75</v>
      </c>
      <c r="H75" s="7" t="str">
        <f t="shared" si="1"/>
        <v>claude|no_guideline|61</v>
      </c>
    </row>
    <row r="76" spans="1:8" x14ac:dyDescent="0.2">
      <c r="A76" s="7" t="s">
        <v>28</v>
      </c>
      <c r="B76" s="7" t="s">
        <v>9</v>
      </c>
      <c r="C76" s="7">
        <v>62</v>
      </c>
      <c r="D76" s="7" t="s">
        <v>69</v>
      </c>
      <c r="E76" s="7" t="s">
        <v>29</v>
      </c>
      <c r="F76" s="15" t="b">
        <f>FALSE()</f>
        <v>0</v>
      </c>
      <c r="G76" s="7" t="s">
        <v>76</v>
      </c>
      <c r="H76" s="7" t="str">
        <f t="shared" si="1"/>
        <v>claude|no_guideline|62</v>
      </c>
    </row>
    <row r="77" spans="1:8" x14ac:dyDescent="0.2">
      <c r="A77" s="7" t="s">
        <v>28</v>
      </c>
      <c r="B77" s="7" t="s">
        <v>9</v>
      </c>
      <c r="C77" s="7">
        <v>63</v>
      </c>
      <c r="D77" s="7" t="s">
        <v>69</v>
      </c>
      <c r="E77" s="7" t="s">
        <v>29</v>
      </c>
      <c r="F77" s="15" t="b">
        <f>FALSE()</f>
        <v>0</v>
      </c>
      <c r="G77" s="7" t="s">
        <v>88</v>
      </c>
      <c r="H77" s="7" t="str">
        <f t="shared" si="1"/>
        <v>claude|no_guideline|63</v>
      </c>
    </row>
    <row r="78" spans="1:8" x14ac:dyDescent="0.2">
      <c r="A78" s="7" t="s">
        <v>28</v>
      </c>
      <c r="B78" s="7" t="s">
        <v>9</v>
      </c>
      <c r="C78" s="7">
        <v>64</v>
      </c>
      <c r="D78" s="7" t="s">
        <v>66</v>
      </c>
      <c r="E78" s="7" t="s">
        <v>29</v>
      </c>
      <c r="F78" s="15" t="b">
        <f>FALSE()</f>
        <v>0</v>
      </c>
      <c r="G78" s="7" t="s">
        <v>77</v>
      </c>
      <c r="H78" s="7" t="str">
        <f t="shared" si="1"/>
        <v>claude|no_guideline|64</v>
      </c>
    </row>
    <row r="79" spans="1:8" x14ac:dyDescent="0.2">
      <c r="A79" s="7" t="s">
        <v>28</v>
      </c>
      <c r="B79" s="7" t="s">
        <v>9</v>
      </c>
      <c r="C79" s="7">
        <v>65</v>
      </c>
      <c r="D79" s="7" t="s">
        <v>69</v>
      </c>
      <c r="E79" s="7" t="s">
        <v>29</v>
      </c>
      <c r="F79" s="15" t="b">
        <f>FALSE()</f>
        <v>0</v>
      </c>
      <c r="G79" s="7" t="s">
        <v>78</v>
      </c>
      <c r="H79" s="7" t="str">
        <f t="shared" si="1"/>
        <v>claude|no_guideline|65</v>
      </c>
    </row>
    <row r="80" spans="1:8" x14ac:dyDescent="0.2">
      <c r="A80" s="7" t="s">
        <v>28</v>
      </c>
      <c r="B80" s="7" t="s">
        <v>9</v>
      </c>
      <c r="C80" s="7">
        <v>66</v>
      </c>
      <c r="D80" s="7" t="s">
        <v>66</v>
      </c>
      <c r="E80" s="7" t="s">
        <v>29</v>
      </c>
      <c r="F80" s="15" t="b">
        <f>FALSE()</f>
        <v>0</v>
      </c>
      <c r="G80" s="7" t="s">
        <v>89</v>
      </c>
      <c r="H80" s="7" t="str">
        <f t="shared" si="1"/>
        <v>claude|no_guideline|66</v>
      </c>
    </row>
    <row r="81" spans="1:8" x14ac:dyDescent="0.2">
      <c r="A81" s="7" t="s">
        <v>28</v>
      </c>
      <c r="B81" s="7" t="s">
        <v>9</v>
      </c>
      <c r="C81" s="7">
        <v>67</v>
      </c>
      <c r="D81" s="7" t="s">
        <v>69</v>
      </c>
      <c r="E81" s="7" t="s">
        <v>29</v>
      </c>
      <c r="F81" s="15" t="b">
        <f>FALSE()</f>
        <v>0</v>
      </c>
      <c r="G81" s="7" t="s">
        <v>90</v>
      </c>
      <c r="H81" s="7" t="str">
        <f t="shared" si="1"/>
        <v>claude|no_guideline|67</v>
      </c>
    </row>
    <row r="82" spans="1:8" x14ac:dyDescent="0.2">
      <c r="A82" s="7" t="s">
        <v>28</v>
      </c>
      <c r="B82" s="7" t="s">
        <v>9</v>
      </c>
      <c r="C82" s="7">
        <v>68</v>
      </c>
      <c r="D82" s="7" t="s">
        <v>66</v>
      </c>
      <c r="E82" s="7" t="s">
        <v>29</v>
      </c>
      <c r="F82" s="15" t="b">
        <f>FALSE()</f>
        <v>0</v>
      </c>
      <c r="G82" s="7" t="s">
        <v>91</v>
      </c>
      <c r="H82" s="7" t="str">
        <f t="shared" si="1"/>
        <v>claude|no_guideline|68</v>
      </c>
    </row>
    <row r="83" spans="1:8" x14ac:dyDescent="0.2">
      <c r="A83" s="7" t="s">
        <v>28</v>
      </c>
      <c r="B83" s="7" t="s">
        <v>27</v>
      </c>
      <c r="C83" s="7">
        <v>1</v>
      </c>
      <c r="D83" s="7" t="s">
        <v>66</v>
      </c>
      <c r="E83" s="7" t="s">
        <v>29</v>
      </c>
      <c r="F83" s="15" t="b">
        <f>FALSE()</f>
        <v>0</v>
      </c>
      <c r="G83" s="7" t="s">
        <v>67</v>
      </c>
      <c r="H83" s="7" t="str">
        <f t="shared" si="1"/>
        <v>claude|with_guideline|1</v>
      </c>
    </row>
    <row r="84" spans="1:8" x14ac:dyDescent="0.2">
      <c r="A84" s="7" t="s">
        <v>28</v>
      </c>
      <c r="B84" s="7" t="s">
        <v>27</v>
      </c>
      <c r="C84" s="7">
        <v>11</v>
      </c>
      <c r="D84" s="7" t="s">
        <v>66</v>
      </c>
      <c r="E84" s="7" t="s">
        <v>29</v>
      </c>
      <c r="F84" s="15" t="b">
        <f>FALSE()</f>
        <v>0</v>
      </c>
      <c r="G84" s="7" t="s">
        <v>68</v>
      </c>
      <c r="H84" s="7" t="str">
        <f t="shared" si="1"/>
        <v>claude|with_guideline|11</v>
      </c>
    </row>
    <row r="85" spans="1:8" x14ac:dyDescent="0.2">
      <c r="A85" s="7" t="s">
        <v>28</v>
      </c>
      <c r="B85" s="7" t="s">
        <v>27</v>
      </c>
      <c r="C85" s="7">
        <v>12</v>
      </c>
      <c r="D85" s="7" t="s">
        <v>69</v>
      </c>
      <c r="E85" s="7" t="s">
        <v>29</v>
      </c>
      <c r="F85" s="15" t="b">
        <f>FALSE()</f>
        <v>0</v>
      </c>
      <c r="G85" s="7" t="s">
        <v>70</v>
      </c>
      <c r="H85" s="7" t="str">
        <f t="shared" si="1"/>
        <v>claude|with_guideline|12</v>
      </c>
    </row>
    <row r="86" spans="1:8" x14ac:dyDescent="0.2">
      <c r="A86" s="7" t="s">
        <v>28</v>
      </c>
      <c r="B86" s="7" t="s">
        <v>27</v>
      </c>
      <c r="C86" s="7">
        <v>13</v>
      </c>
      <c r="D86" s="7" t="s">
        <v>66</v>
      </c>
      <c r="E86" s="7" t="s">
        <v>29</v>
      </c>
      <c r="F86" s="15" t="b">
        <f>FALSE()</f>
        <v>0</v>
      </c>
      <c r="G86" s="7" t="s">
        <v>71</v>
      </c>
      <c r="H86" s="7" t="str">
        <f t="shared" si="1"/>
        <v>claude|with_guideline|13</v>
      </c>
    </row>
    <row r="87" spans="1:8" x14ac:dyDescent="0.2">
      <c r="A87" s="7" t="s">
        <v>28</v>
      </c>
      <c r="B87" s="7" t="s">
        <v>27</v>
      </c>
      <c r="C87" s="7">
        <v>14</v>
      </c>
      <c r="D87" s="7" t="s">
        <v>69</v>
      </c>
      <c r="E87" s="7" t="s">
        <v>29</v>
      </c>
      <c r="F87" s="15" t="b">
        <f>FALSE()</f>
        <v>0</v>
      </c>
      <c r="G87" s="7" t="s">
        <v>72</v>
      </c>
      <c r="H87" s="7" t="str">
        <f t="shared" si="1"/>
        <v>claude|with_guideline|14</v>
      </c>
    </row>
    <row r="88" spans="1:8" x14ac:dyDescent="0.2">
      <c r="A88" s="7" t="s">
        <v>28</v>
      </c>
      <c r="B88" s="7" t="s">
        <v>27</v>
      </c>
      <c r="C88" s="7">
        <v>15</v>
      </c>
      <c r="D88" s="7" t="s">
        <v>66</v>
      </c>
      <c r="E88" s="7" t="s">
        <v>29</v>
      </c>
      <c r="F88" s="15" t="b">
        <f>FALSE()</f>
        <v>0</v>
      </c>
      <c r="G88" s="7" t="s">
        <v>73</v>
      </c>
      <c r="H88" s="7" t="str">
        <f t="shared" si="1"/>
        <v>claude|with_guideline|15</v>
      </c>
    </row>
    <row r="89" spans="1:8" x14ac:dyDescent="0.2">
      <c r="A89" s="7" t="s">
        <v>28</v>
      </c>
      <c r="B89" s="7" t="s">
        <v>27</v>
      </c>
      <c r="C89" s="7">
        <v>16</v>
      </c>
      <c r="D89" s="7" t="s">
        <v>69</v>
      </c>
      <c r="E89" s="7" t="s">
        <v>29</v>
      </c>
      <c r="F89" s="15" t="b">
        <f>FALSE()</f>
        <v>0</v>
      </c>
      <c r="G89" s="7" t="s">
        <v>74</v>
      </c>
      <c r="H89" s="7" t="str">
        <f t="shared" si="1"/>
        <v>claude|with_guideline|16</v>
      </c>
    </row>
    <row r="90" spans="1:8" x14ac:dyDescent="0.2">
      <c r="A90" s="7" t="s">
        <v>28</v>
      </c>
      <c r="B90" s="7" t="s">
        <v>27</v>
      </c>
      <c r="C90" s="7">
        <v>17</v>
      </c>
      <c r="D90" s="7" t="s">
        <v>66</v>
      </c>
      <c r="E90" s="7" t="s">
        <v>29</v>
      </c>
      <c r="F90" s="15" t="b">
        <f>FALSE()</f>
        <v>0</v>
      </c>
      <c r="G90" s="7" t="s">
        <v>75</v>
      </c>
      <c r="H90" s="7" t="str">
        <f t="shared" si="1"/>
        <v>claude|with_guideline|17</v>
      </c>
    </row>
    <row r="91" spans="1:8" x14ac:dyDescent="0.2">
      <c r="A91" s="7" t="s">
        <v>28</v>
      </c>
      <c r="B91" s="7" t="s">
        <v>27</v>
      </c>
      <c r="C91" s="7">
        <v>18</v>
      </c>
      <c r="D91" s="7" t="s">
        <v>69</v>
      </c>
      <c r="E91" s="7" t="s">
        <v>29</v>
      </c>
      <c r="F91" s="15" t="b">
        <f>FALSE()</f>
        <v>0</v>
      </c>
      <c r="G91" s="7" t="s">
        <v>76</v>
      </c>
      <c r="H91" s="7" t="str">
        <f t="shared" si="1"/>
        <v>claude|with_guideline|18</v>
      </c>
    </row>
    <row r="92" spans="1:8" x14ac:dyDescent="0.2">
      <c r="A92" s="7" t="s">
        <v>28</v>
      </c>
      <c r="B92" s="7" t="s">
        <v>27</v>
      </c>
      <c r="C92" s="7">
        <v>19</v>
      </c>
      <c r="D92" s="7" t="s">
        <v>66</v>
      </c>
      <c r="E92" s="7" t="s">
        <v>29</v>
      </c>
      <c r="F92" s="15" t="b">
        <f>FALSE()</f>
        <v>0</v>
      </c>
      <c r="G92" s="7" t="s">
        <v>77</v>
      </c>
      <c r="H92" s="7" t="str">
        <f t="shared" si="1"/>
        <v>claude|with_guideline|19</v>
      </c>
    </row>
    <row r="93" spans="1:8" x14ac:dyDescent="0.2">
      <c r="A93" s="7" t="s">
        <v>28</v>
      </c>
      <c r="B93" s="7" t="s">
        <v>27</v>
      </c>
      <c r="C93" s="7">
        <v>20</v>
      </c>
      <c r="D93" s="7" t="s">
        <v>69</v>
      </c>
      <c r="E93" s="7" t="s">
        <v>29</v>
      </c>
      <c r="F93" s="15" t="b">
        <f>FALSE()</f>
        <v>0</v>
      </c>
      <c r="G93" s="7" t="s">
        <v>78</v>
      </c>
      <c r="H93" s="7" t="str">
        <f t="shared" si="1"/>
        <v>claude|with_guideline|20</v>
      </c>
    </row>
    <row r="94" spans="1:8" x14ac:dyDescent="0.2">
      <c r="A94" s="7" t="s">
        <v>28</v>
      </c>
      <c r="B94" s="7" t="s">
        <v>27</v>
      </c>
      <c r="C94" s="7">
        <v>21</v>
      </c>
      <c r="D94" s="7" t="s">
        <v>69</v>
      </c>
      <c r="E94" s="7" t="s">
        <v>29</v>
      </c>
      <c r="F94" s="15" t="b">
        <f>FALSE()</f>
        <v>0</v>
      </c>
      <c r="G94" s="7" t="s">
        <v>79</v>
      </c>
      <c r="H94" s="7" t="str">
        <f t="shared" si="1"/>
        <v>claude|with_guideline|21</v>
      </c>
    </row>
    <row r="95" spans="1:8" x14ac:dyDescent="0.2">
      <c r="A95" s="7" t="s">
        <v>28</v>
      </c>
      <c r="B95" s="7" t="s">
        <v>27</v>
      </c>
      <c r="C95" s="7">
        <v>22</v>
      </c>
      <c r="D95" s="7" t="s">
        <v>66</v>
      </c>
      <c r="E95" s="7" t="s">
        <v>29</v>
      </c>
      <c r="F95" s="15" t="b">
        <f>FALSE()</f>
        <v>0</v>
      </c>
      <c r="G95" s="7" t="s">
        <v>80</v>
      </c>
      <c r="H95" s="7" t="str">
        <f t="shared" si="1"/>
        <v>claude|with_guideline|22</v>
      </c>
    </row>
    <row r="96" spans="1:8" x14ac:dyDescent="0.2">
      <c r="A96" s="7" t="s">
        <v>28</v>
      </c>
      <c r="B96" s="7" t="s">
        <v>27</v>
      </c>
      <c r="C96" s="7">
        <v>31</v>
      </c>
      <c r="D96" s="7" t="s">
        <v>69</v>
      </c>
      <c r="E96" s="7" t="s">
        <v>29</v>
      </c>
      <c r="F96" s="15" t="b">
        <f>FALSE()</f>
        <v>0</v>
      </c>
      <c r="G96" s="7" t="s">
        <v>81</v>
      </c>
      <c r="H96" s="7" t="str">
        <f t="shared" si="1"/>
        <v>claude|with_guideline|31</v>
      </c>
    </row>
    <row r="97" spans="1:8" x14ac:dyDescent="0.2">
      <c r="A97" s="7" t="s">
        <v>28</v>
      </c>
      <c r="B97" s="7" t="s">
        <v>27</v>
      </c>
      <c r="C97" s="7">
        <v>32</v>
      </c>
      <c r="D97" s="7" t="s">
        <v>82</v>
      </c>
      <c r="E97" s="7" t="s">
        <v>29</v>
      </c>
      <c r="F97" s="15" t="b">
        <f>FALSE()</f>
        <v>0</v>
      </c>
      <c r="G97" s="7" t="s">
        <v>83</v>
      </c>
      <c r="H97" s="7" t="str">
        <f t="shared" si="1"/>
        <v>claude|with_guideline|32</v>
      </c>
    </row>
    <row r="98" spans="1:8" x14ac:dyDescent="0.2">
      <c r="A98" s="7" t="s">
        <v>28</v>
      </c>
      <c r="B98" s="7" t="s">
        <v>27</v>
      </c>
      <c r="C98" s="7">
        <v>41</v>
      </c>
      <c r="D98" s="7" t="s">
        <v>82</v>
      </c>
      <c r="E98" s="7" t="s">
        <v>29</v>
      </c>
      <c r="F98" s="15" t="b">
        <f>FALSE()</f>
        <v>0</v>
      </c>
      <c r="G98" s="7" t="s">
        <v>84</v>
      </c>
      <c r="H98" s="7" t="str">
        <f t="shared" si="1"/>
        <v>claude|with_guideline|41</v>
      </c>
    </row>
    <row r="99" spans="1:8" x14ac:dyDescent="0.2">
      <c r="A99" s="7" t="s">
        <v>28</v>
      </c>
      <c r="B99" s="7" t="s">
        <v>27</v>
      </c>
      <c r="C99" s="7">
        <v>42</v>
      </c>
      <c r="D99" s="7" t="s">
        <v>82</v>
      </c>
      <c r="E99" s="7" t="s">
        <v>29</v>
      </c>
      <c r="F99" s="15" t="b">
        <f>FALSE()</f>
        <v>0</v>
      </c>
      <c r="G99" s="7" t="s">
        <v>85</v>
      </c>
      <c r="H99" s="7" t="str">
        <f t="shared" si="1"/>
        <v>claude|with_guideline|42</v>
      </c>
    </row>
    <row r="100" spans="1:8" x14ac:dyDescent="0.2">
      <c r="A100" s="7" t="s">
        <v>28</v>
      </c>
      <c r="B100" s="7" t="s">
        <v>27</v>
      </c>
      <c r="C100" s="7">
        <v>51</v>
      </c>
      <c r="D100" s="7" t="s">
        <v>69</v>
      </c>
      <c r="E100" s="7" t="s">
        <v>29</v>
      </c>
      <c r="F100" s="15" t="b">
        <f>FALSE()</f>
        <v>0</v>
      </c>
      <c r="G100" s="7" t="s">
        <v>86</v>
      </c>
      <c r="H100" s="7" t="str">
        <f t="shared" si="1"/>
        <v>claude|with_guideline|51</v>
      </c>
    </row>
    <row r="101" spans="1:8" x14ac:dyDescent="0.2">
      <c r="A101" s="7" t="s">
        <v>28</v>
      </c>
      <c r="B101" s="7" t="s">
        <v>27</v>
      </c>
      <c r="C101" s="7">
        <v>52</v>
      </c>
      <c r="D101" s="7" t="s">
        <v>69</v>
      </c>
      <c r="E101" s="7" t="s">
        <v>29</v>
      </c>
      <c r="F101" s="15" t="b">
        <f>FALSE()</f>
        <v>0</v>
      </c>
      <c r="G101" s="7" t="s">
        <v>87</v>
      </c>
      <c r="H101" s="7" t="str">
        <f t="shared" si="1"/>
        <v>claude|with_guideline|52</v>
      </c>
    </row>
    <row r="102" spans="1:8" x14ac:dyDescent="0.2">
      <c r="A102" s="7" t="s">
        <v>28</v>
      </c>
      <c r="B102" s="7" t="s">
        <v>27</v>
      </c>
      <c r="C102" s="7">
        <v>61</v>
      </c>
      <c r="D102" s="7" t="s">
        <v>66</v>
      </c>
      <c r="E102" s="7" t="s">
        <v>29</v>
      </c>
      <c r="F102" s="15" t="b">
        <f>FALSE()</f>
        <v>0</v>
      </c>
      <c r="G102" s="7" t="s">
        <v>75</v>
      </c>
      <c r="H102" s="7" t="str">
        <f t="shared" si="1"/>
        <v>claude|with_guideline|61</v>
      </c>
    </row>
    <row r="103" spans="1:8" x14ac:dyDescent="0.2">
      <c r="A103" s="7" t="s">
        <v>28</v>
      </c>
      <c r="B103" s="7" t="s">
        <v>27</v>
      </c>
      <c r="C103" s="7">
        <v>62</v>
      </c>
      <c r="D103" s="7" t="s">
        <v>69</v>
      </c>
      <c r="E103" s="7" t="s">
        <v>29</v>
      </c>
      <c r="F103" s="15" t="b">
        <f>FALSE()</f>
        <v>0</v>
      </c>
      <c r="G103" s="7" t="s">
        <v>76</v>
      </c>
      <c r="H103" s="7" t="str">
        <f t="shared" si="1"/>
        <v>claude|with_guideline|62</v>
      </c>
    </row>
    <row r="104" spans="1:8" x14ac:dyDescent="0.2">
      <c r="A104" s="7" t="s">
        <v>28</v>
      </c>
      <c r="B104" s="7" t="s">
        <v>27</v>
      </c>
      <c r="C104" s="7">
        <v>63</v>
      </c>
      <c r="D104" s="7" t="s">
        <v>69</v>
      </c>
      <c r="E104" s="7" t="s">
        <v>29</v>
      </c>
      <c r="F104" s="15" t="b">
        <f>FALSE()</f>
        <v>0</v>
      </c>
      <c r="G104" s="7" t="s">
        <v>88</v>
      </c>
      <c r="H104" s="7" t="str">
        <f t="shared" si="1"/>
        <v>claude|with_guideline|63</v>
      </c>
    </row>
    <row r="105" spans="1:8" x14ac:dyDescent="0.2">
      <c r="A105" s="7" t="s">
        <v>28</v>
      </c>
      <c r="B105" s="7" t="s">
        <v>27</v>
      </c>
      <c r="C105" s="7">
        <v>64</v>
      </c>
      <c r="D105" s="7" t="s">
        <v>66</v>
      </c>
      <c r="E105" s="7" t="s">
        <v>29</v>
      </c>
      <c r="F105" s="15" t="b">
        <f>FALSE()</f>
        <v>0</v>
      </c>
      <c r="G105" s="7" t="s">
        <v>77</v>
      </c>
      <c r="H105" s="7" t="str">
        <f t="shared" si="1"/>
        <v>claude|with_guideline|64</v>
      </c>
    </row>
    <row r="106" spans="1:8" x14ac:dyDescent="0.2">
      <c r="A106" s="7" t="s">
        <v>28</v>
      </c>
      <c r="B106" s="7" t="s">
        <v>27</v>
      </c>
      <c r="C106" s="7">
        <v>65</v>
      </c>
      <c r="D106" s="7" t="s">
        <v>69</v>
      </c>
      <c r="E106" s="7" t="s">
        <v>29</v>
      </c>
      <c r="F106" s="15" t="b">
        <f>FALSE()</f>
        <v>0</v>
      </c>
      <c r="G106" s="7" t="s">
        <v>78</v>
      </c>
      <c r="H106" s="7" t="str">
        <f t="shared" si="1"/>
        <v>claude|with_guideline|65</v>
      </c>
    </row>
    <row r="107" spans="1:8" x14ac:dyDescent="0.2">
      <c r="A107" s="7" t="s">
        <v>28</v>
      </c>
      <c r="B107" s="7" t="s">
        <v>27</v>
      </c>
      <c r="C107" s="7">
        <v>66</v>
      </c>
      <c r="D107" s="7" t="s">
        <v>66</v>
      </c>
      <c r="E107" s="7" t="s">
        <v>29</v>
      </c>
      <c r="F107" s="15" t="b">
        <f>FALSE()</f>
        <v>0</v>
      </c>
      <c r="G107" s="7" t="s">
        <v>89</v>
      </c>
      <c r="H107" s="7" t="str">
        <f t="shared" si="1"/>
        <v>claude|with_guideline|66</v>
      </c>
    </row>
    <row r="108" spans="1:8" x14ac:dyDescent="0.2">
      <c r="A108" s="7" t="s">
        <v>28</v>
      </c>
      <c r="B108" s="7" t="s">
        <v>27</v>
      </c>
      <c r="C108" s="7">
        <v>67</v>
      </c>
      <c r="D108" s="7" t="s">
        <v>69</v>
      </c>
      <c r="E108" s="7" t="s">
        <v>29</v>
      </c>
      <c r="F108" s="15" t="b">
        <f>FALSE()</f>
        <v>0</v>
      </c>
      <c r="G108" s="7" t="s">
        <v>90</v>
      </c>
      <c r="H108" s="7" t="str">
        <f t="shared" si="1"/>
        <v>claude|with_guideline|67</v>
      </c>
    </row>
    <row r="109" spans="1:8" x14ac:dyDescent="0.2">
      <c r="A109" s="7" t="s">
        <v>28</v>
      </c>
      <c r="B109" s="7" t="s">
        <v>27</v>
      </c>
      <c r="C109" s="7">
        <v>68</v>
      </c>
      <c r="D109" s="7" t="s">
        <v>66</v>
      </c>
      <c r="E109" s="7" t="s">
        <v>29</v>
      </c>
      <c r="F109" s="15" t="b">
        <f>FALSE()</f>
        <v>0</v>
      </c>
      <c r="G109" s="7" t="s">
        <v>91</v>
      </c>
      <c r="H109" s="7" t="str">
        <f t="shared" si="1"/>
        <v>claude|with_guideline|68</v>
      </c>
    </row>
    <row r="110" spans="1:8" x14ac:dyDescent="0.2">
      <c r="A110" s="7" t="s">
        <v>30</v>
      </c>
      <c r="B110" s="7" t="s">
        <v>9</v>
      </c>
      <c r="C110" s="7">
        <v>1</v>
      </c>
      <c r="D110" s="7" t="s">
        <v>66</v>
      </c>
      <c r="E110" s="7" t="s">
        <v>66</v>
      </c>
      <c r="F110" s="14" t="b">
        <f>TRUE()</f>
        <v>1</v>
      </c>
      <c r="G110" s="7" t="s">
        <v>67</v>
      </c>
      <c r="H110" s="7" t="str">
        <f t="shared" si="1"/>
        <v>gemini|no_guideline|1</v>
      </c>
    </row>
    <row r="111" spans="1:8" x14ac:dyDescent="0.2">
      <c r="A111" s="7" t="s">
        <v>30</v>
      </c>
      <c r="B111" s="7" t="s">
        <v>9</v>
      </c>
      <c r="C111" s="7">
        <v>11</v>
      </c>
      <c r="D111" s="7" t="s">
        <v>66</v>
      </c>
      <c r="E111" s="7" t="s">
        <v>66</v>
      </c>
      <c r="F111" s="14" t="b">
        <f>TRUE()</f>
        <v>1</v>
      </c>
      <c r="G111" s="7" t="s">
        <v>68</v>
      </c>
      <c r="H111" s="7" t="str">
        <f t="shared" si="1"/>
        <v>gemini|no_guideline|11</v>
      </c>
    </row>
    <row r="112" spans="1:8" x14ac:dyDescent="0.2">
      <c r="A112" s="7" t="s">
        <v>30</v>
      </c>
      <c r="B112" s="7" t="s">
        <v>9</v>
      </c>
      <c r="C112" s="7">
        <v>12</v>
      </c>
      <c r="D112" s="7" t="s">
        <v>69</v>
      </c>
      <c r="E112" s="7" t="s">
        <v>66</v>
      </c>
      <c r="F112" s="15" t="b">
        <f>FALSE()</f>
        <v>0</v>
      </c>
      <c r="G112" s="7" t="s">
        <v>70</v>
      </c>
      <c r="H112" s="7" t="str">
        <f t="shared" si="1"/>
        <v>gemini|no_guideline|12</v>
      </c>
    </row>
    <row r="113" spans="1:8" x14ac:dyDescent="0.2">
      <c r="A113" s="7" t="s">
        <v>30</v>
      </c>
      <c r="B113" s="7" t="s">
        <v>9</v>
      </c>
      <c r="C113" s="7">
        <v>13</v>
      </c>
      <c r="D113" s="7" t="s">
        <v>66</v>
      </c>
      <c r="E113" s="7" t="s">
        <v>66</v>
      </c>
      <c r="F113" s="14" t="b">
        <f>TRUE()</f>
        <v>1</v>
      </c>
      <c r="G113" s="7" t="s">
        <v>71</v>
      </c>
      <c r="H113" s="7" t="str">
        <f t="shared" si="1"/>
        <v>gemini|no_guideline|13</v>
      </c>
    </row>
    <row r="114" spans="1:8" x14ac:dyDescent="0.2">
      <c r="A114" s="7" t="s">
        <v>30</v>
      </c>
      <c r="B114" s="7" t="s">
        <v>9</v>
      </c>
      <c r="C114" s="7">
        <v>14</v>
      </c>
      <c r="D114" s="7" t="s">
        <v>69</v>
      </c>
      <c r="E114" s="7" t="s">
        <v>66</v>
      </c>
      <c r="F114" s="15" t="b">
        <f>FALSE()</f>
        <v>0</v>
      </c>
      <c r="G114" s="7" t="s">
        <v>72</v>
      </c>
      <c r="H114" s="7" t="str">
        <f t="shared" si="1"/>
        <v>gemini|no_guideline|14</v>
      </c>
    </row>
    <row r="115" spans="1:8" x14ac:dyDescent="0.2">
      <c r="A115" s="7" t="s">
        <v>30</v>
      </c>
      <c r="B115" s="7" t="s">
        <v>9</v>
      </c>
      <c r="C115" s="7">
        <v>15</v>
      </c>
      <c r="D115" s="7" t="s">
        <v>66</v>
      </c>
      <c r="E115" s="7" t="s">
        <v>69</v>
      </c>
      <c r="F115" s="15" t="b">
        <f>FALSE()</f>
        <v>0</v>
      </c>
      <c r="G115" s="7" t="s">
        <v>73</v>
      </c>
      <c r="H115" s="7" t="str">
        <f t="shared" si="1"/>
        <v>gemini|no_guideline|15</v>
      </c>
    </row>
    <row r="116" spans="1:8" x14ac:dyDescent="0.2">
      <c r="A116" s="7" t="s">
        <v>30</v>
      </c>
      <c r="B116" s="7" t="s">
        <v>9</v>
      </c>
      <c r="C116" s="7">
        <v>16</v>
      </c>
      <c r="D116" s="7" t="s">
        <v>69</v>
      </c>
      <c r="E116" s="7" t="s">
        <v>69</v>
      </c>
      <c r="F116" s="14" t="b">
        <f>TRUE()</f>
        <v>1</v>
      </c>
      <c r="G116" s="7" t="s">
        <v>74</v>
      </c>
      <c r="H116" s="7" t="str">
        <f t="shared" si="1"/>
        <v>gemini|no_guideline|16</v>
      </c>
    </row>
    <row r="117" spans="1:8" x14ac:dyDescent="0.2">
      <c r="A117" s="7" t="s">
        <v>30</v>
      </c>
      <c r="B117" s="7" t="s">
        <v>9</v>
      </c>
      <c r="C117" s="7">
        <v>17</v>
      </c>
      <c r="D117" s="7" t="s">
        <v>66</v>
      </c>
      <c r="E117" s="7" t="s">
        <v>66</v>
      </c>
      <c r="F117" s="14" t="b">
        <f>TRUE()</f>
        <v>1</v>
      </c>
      <c r="G117" s="7" t="s">
        <v>75</v>
      </c>
      <c r="H117" s="7" t="str">
        <f t="shared" si="1"/>
        <v>gemini|no_guideline|17</v>
      </c>
    </row>
    <row r="118" spans="1:8" x14ac:dyDescent="0.2">
      <c r="A118" s="7" t="s">
        <v>30</v>
      </c>
      <c r="B118" s="7" t="s">
        <v>9</v>
      </c>
      <c r="C118" s="7">
        <v>18</v>
      </c>
      <c r="D118" s="7" t="s">
        <v>69</v>
      </c>
      <c r="E118" s="7" t="s">
        <v>66</v>
      </c>
      <c r="F118" s="15" t="b">
        <f>FALSE()</f>
        <v>0</v>
      </c>
      <c r="G118" s="7" t="s">
        <v>76</v>
      </c>
      <c r="H118" s="7" t="str">
        <f t="shared" si="1"/>
        <v>gemini|no_guideline|18</v>
      </c>
    </row>
    <row r="119" spans="1:8" x14ac:dyDescent="0.2">
      <c r="A119" s="7" t="s">
        <v>30</v>
      </c>
      <c r="B119" s="7" t="s">
        <v>9</v>
      </c>
      <c r="C119" s="7">
        <v>19</v>
      </c>
      <c r="D119" s="7" t="s">
        <v>66</v>
      </c>
      <c r="E119" s="7" t="s">
        <v>69</v>
      </c>
      <c r="F119" s="15" t="b">
        <f>FALSE()</f>
        <v>0</v>
      </c>
      <c r="G119" s="7" t="s">
        <v>77</v>
      </c>
      <c r="H119" s="7" t="str">
        <f t="shared" si="1"/>
        <v>gemini|no_guideline|19</v>
      </c>
    </row>
    <row r="120" spans="1:8" x14ac:dyDescent="0.2">
      <c r="A120" s="7" t="s">
        <v>30</v>
      </c>
      <c r="B120" s="7" t="s">
        <v>9</v>
      </c>
      <c r="C120" s="7">
        <v>20</v>
      </c>
      <c r="D120" s="7" t="s">
        <v>69</v>
      </c>
      <c r="E120" s="7" t="s">
        <v>69</v>
      </c>
      <c r="F120" s="14" t="b">
        <f>TRUE()</f>
        <v>1</v>
      </c>
      <c r="G120" s="7" t="s">
        <v>78</v>
      </c>
      <c r="H120" s="7" t="str">
        <f t="shared" si="1"/>
        <v>gemini|no_guideline|20</v>
      </c>
    </row>
    <row r="121" spans="1:8" x14ac:dyDescent="0.2">
      <c r="A121" s="7" t="s">
        <v>30</v>
      </c>
      <c r="B121" s="7" t="s">
        <v>9</v>
      </c>
      <c r="C121" s="7">
        <v>21</v>
      </c>
      <c r="D121" s="7" t="s">
        <v>69</v>
      </c>
      <c r="E121" s="7" t="s">
        <v>69</v>
      </c>
      <c r="F121" s="14" t="b">
        <f>TRUE()</f>
        <v>1</v>
      </c>
      <c r="G121" s="7" t="s">
        <v>79</v>
      </c>
      <c r="H121" s="7" t="str">
        <f t="shared" si="1"/>
        <v>gemini|no_guideline|21</v>
      </c>
    </row>
    <row r="122" spans="1:8" x14ac:dyDescent="0.2">
      <c r="A122" s="7" t="s">
        <v>30</v>
      </c>
      <c r="B122" s="7" t="s">
        <v>9</v>
      </c>
      <c r="C122" s="7">
        <v>22</v>
      </c>
      <c r="D122" s="7" t="s">
        <v>66</v>
      </c>
      <c r="E122" s="7" t="s">
        <v>66</v>
      </c>
      <c r="F122" s="14" t="b">
        <f>TRUE()</f>
        <v>1</v>
      </c>
      <c r="G122" s="7" t="s">
        <v>80</v>
      </c>
      <c r="H122" s="7" t="str">
        <f t="shared" si="1"/>
        <v>gemini|no_guideline|22</v>
      </c>
    </row>
    <row r="123" spans="1:8" x14ac:dyDescent="0.2">
      <c r="A123" s="7" t="s">
        <v>30</v>
      </c>
      <c r="B123" s="7" t="s">
        <v>9</v>
      </c>
      <c r="C123" s="7">
        <v>31</v>
      </c>
      <c r="D123" s="7" t="s">
        <v>69</v>
      </c>
      <c r="E123" s="7" t="s">
        <v>66</v>
      </c>
      <c r="F123" s="15" t="b">
        <f>FALSE()</f>
        <v>0</v>
      </c>
      <c r="G123" s="7" t="s">
        <v>81</v>
      </c>
      <c r="H123" s="7" t="str">
        <f t="shared" si="1"/>
        <v>gemini|no_guideline|31</v>
      </c>
    </row>
    <row r="124" spans="1:8" x14ac:dyDescent="0.2">
      <c r="A124" s="7" t="s">
        <v>30</v>
      </c>
      <c r="B124" s="7" t="s">
        <v>9</v>
      </c>
      <c r="C124" s="7">
        <v>32</v>
      </c>
      <c r="D124" s="7" t="s">
        <v>82</v>
      </c>
      <c r="E124" s="7" t="s">
        <v>82</v>
      </c>
      <c r="F124" s="14" t="b">
        <f>TRUE()</f>
        <v>1</v>
      </c>
      <c r="G124" s="7" t="s">
        <v>83</v>
      </c>
      <c r="H124" s="7" t="str">
        <f t="shared" si="1"/>
        <v>gemini|no_guideline|32</v>
      </c>
    </row>
    <row r="125" spans="1:8" x14ac:dyDescent="0.2">
      <c r="A125" s="7" t="s">
        <v>30</v>
      </c>
      <c r="B125" s="7" t="s">
        <v>9</v>
      </c>
      <c r="C125" s="7">
        <v>41</v>
      </c>
      <c r="D125" s="7" t="s">
        <v>82</v>
      </c>
      <c r="E125" s="7" t="s">
        <v>82</v>
      </c>
      <c r="F125" s="14" t="b">
        <f>TRUE()</f>
        <v>1</v>
      </c>
      <c r="G125" s="7" t="s">
        <v>84</v>
      </c>
      <c r="H125" s="7" t="str">
        <f t="shared" si="1"/>
        <v>gemini|no_guideline|41</v>
      </c>
    </row>
    <row r="126" spans="1:8" x14ac:dyDescent="0.2">
      <c r="A126" s="7" t="s">
        <v>30</v>
      </c>
      <c r="B126" s="7" t="s">
        <v>9</v>
      </c>
      <c r="C126" s="7">
        <v>42</v>
      </c>
      <c r="D126" s="7" t="s">
        <v>82</v>
      </c>
      <c r="E126" s="7" t="s">
        <v>82</v>
      </c>
      <c r="F126" s="14" t="b">
        <f>TRUE()</f>
        <v>1</v>
      </c>
      <c r="G126" s="7" t="s">
        <v>85</v>
      </c>
      <c r="H126" s="7" t="str">
        <f t="shared" si="1"/>
        <v>gemini|no_guideline|42</v>
      </c>
    </row>
    <row r="127" spans="1:8" x14ac:dyDescent="0.2">
      <c r="A127" s="7" t="s">
        <v>30</v>
      </c>
      <c r="B127" s="7" t="s">
        <v>9</v>
      </c>
      <c r="C127" s="7">
        <v>51</v>
      </c>
      <c r="D127" s="7" t="s">
        <v>69</v>
      </c>
      <c r="E127" s="7" t="s">
        <v>69</v>
      </c>
      <c r="F127" s="14" t="b">
        <f>TRUE()</f>
        <v>1</v>
      </c>
      <c r="G127" s="7" t="s">
        <v>86</v>
      </c>
      <c r="H127" s="7" t="str">
        <f t="shared" si="1"/>
        <v>gemini|no_guideline|51</v>
      </c>
    </row>
    <row r="128" spans="1:8" x14ac:dyDescent="0.2">
      <c r="A128" s="7" t="s">
        <v>30</v>
      </c>
      <c r="B128" s="7" t="s">
        <v>9</v>
      </c>
      <c r="C128" s="7">
        <v>52</v>
      </c>
      <c r="D128" s="7" t="s">
        <v>69</v>
      </c>
      <c r="E128" s="7" t="s">
        <v>82</v>
      </c>
      <c r="F128" s="15" t="b">
        <f>FALSE()</f>
        <v>0</v>
      </c>
      <c r="G128" s="7" t="s">
        <v>87</v>
      </c>
      <c r="H128" s="7" t="str">
        <f t="shared" si="1"/>
        <v>gemini|no_guideline|52</v>
      </c>
    </row>
    <row r="129" spans="1:8" x14ac:dyDescent="0.2">
      <c r="A129" s="7" t="s">
        <v>30</v>
      </c>
      <c r="B129" s="7" t="s">
        <v>9</v>
      </c>
      <c r="C129" s="7">
        <v>61</v>
      </c>
      <c r="D129" s="7" t="s">
        <v>66</v>
      </c>
      <c r="E129" s="7" t="s">
        <v>66</v>
      </c>
      <c r="F129" s="14" t="b">
        <f>TRUE()</f>
        <v>1</v>
      </c>
      <c r="G129" s="7" t="s">
        <v>75</v>
      </c>
      <c r="H129" s="7" t="str">
        <f t="shared" si="1"/>
        <v>gemini|no_guideline|61</v>
      </c>
    </row>
    <row r="130" spans="1:8" x14ac:dyDescent="0.2">
      <c r="A130" s="7" t="s">
        <v>30</v>
      </c>
      <c r="B130" s="7" t="s">
        <v>9</v>
      </c>
      <c r="C130" s="7">
        <v>62</v>
      </c>
      <c r="D130" s="7" t="s">
        <v>69</v>
      </c>
      <c r="E130" s="7" t="s">
        <v>66</v>
      </c>
      <c r="F130" s="15" t="b">
        <f>FALSE()</f>
        <v>0</v>
      </c>
      <c r="G130" s="7" t="s">
        <v>76</v>
      </c>
      <c r="H130" s="7" t="str">
        <f t="shared" ref="H130:H193" si="2">A130&amp;"|"&amp;B130&amp;"|"&amp;C130</f>
        <v>gemini|no_guideline|62</v>
      </c>
    </row>
    <row r="131" spans="1:8" x14ac:dyDescent="0.2">
      <c r="A131" s="7" t="s">
        <v>30</v>
      </c>
      <c r="B131" s="7" t="s">
        <v>9</v>
      </c>
      <c r="C131" s="7">
        <v>63</v>
      </c>
      <c r="D131" s="7" t="s">
        <v>69</v>
      </c>
      <c r="E131" s="7" t="s">
        <v>66</v>
      </c>
      <c r="F131" s="15" t="b">
        <f>FALSE()</f>
        <v>0</v>
      </c>
      <c r="G131" s="7" t="s">
        <v>88</v>
      </c>
      <c r="H131" s="7" t="str">
        <f t="shared" si="2"/>
        <v>gemini|no_guideline|63</v>
      </c>
    </row>
    <row r="132" spans="1:8" x14ac:dyDescent="0.2">
      <c r="A132" s="7" t="s">
        <v>30</v>
      </c>
      <c r="B132" s="7" t="s">
        <v>9</v>
      </c>
      <c r="C132" s="7">
        <v>64</v>
      </c>
      <c r="D132" s="7" t="s">
        <v>66</v>
      </c>
      <c r="E132" s="7" t="s">
        <v>69</v>
      </c>
      <c r="F132" s="15" t="b">
        <f>FALSE()</f>
        <v>0</v>
      </c>
      <c r="G132" s="7" t="s">
        <v>77</v>
      </c>
      <c r="H132" s="7" t="str">
        <f t="shared" si="2"/>
        <v>gemini|no_guideline|64</v>
      </c>
    </row>
    <row r="133" spans="1:8" x14ac:dyDescent="0.2">
      <c r="A133" s="7" t="s">
        <v>30</v>
      </c>
      <c r="B133" s="7" t="s">
        <v>9</v>
      </c>
      <c r="C133" s="7">
        <v>65</v>
      </c>
      <c r="D133" s="7" t="s">
        <v>69</v>
      </c>
      <c r="E133" s="7" t="s">
        <v>69</v>
      </c>
      <c r="F133" s="14" t="b">
        <f>TRUE()</f>
        <v>1</v>
      </c>
      <c r="G133" s="7" t="s">
        <v>78</v>
      </c>
      <c r="H133" s="7" t="str">
        <f t="shared" si="2"/>
        <v>gemini|no_guideline|65</v>
      </c>
    </row>
    <row r="134" spans="1:8" x14ac:dyDescent="0.2">
      <c r="A134" s="7" t="s">
        <v>30</v>
      </c>
      <c r="B134" s="7" t="s">
        <v>9</v>
      </c>
      <c r="C134" s="7">
        <v>66</v>
      </c>
      <c r="D134" s="7" t="s">
        <v>66</v>
      </c>
      <c r="E134" s="7" t="s">
        <v>69</v>
      </c>
      <c r="F134" s="15" t="b">
        <f>FALSE()</f>
        <v>0</v>
      </c>
      <c r="G134" s="7" t="s">
        <v>89</v>
      </c>
      <c r="H134" s="7" t="str">
        <f t="shared" si="2"/>
        <v>gemini|no_guideline|66</v>
      </c>
    </row>
    <row r="135" spans="1:8" x14ac:dyDescent="0.2">
      <c r="A135" s="7" t="s">
        <v>30</v>
      </c>
      <c r="B135" s="7" t="s">
        <v>9</v>
      </c>
      <c r="C135" s="7">
        <v>67</v>
      </c>
      <c r="D135" s="7" t="s">
        <v>69</v>
      </c>
      <c r="E135" s="7" t="s">
        <v>69</v>
      </c>
      <c r="F135" s="14" t="b">
        <f>TRUE()</f>
        <v>1</v>
      </c>
      <c r="G135" s="7" t="s">
        <v>90</v>
      </c>
      <c r="H135" s="7" t="str">
        <f t="shared" si="2"/>
        <v>gemini|no_guideline|67</v>
      </c>
    </row>
    <row r="136" spans="1:8" x14ac:dyDescent="0.2">
      <c r="A136" s="7" t="s">
        <v>30</v>
      </c>
      <c r="B136" s="7" t="s">
        <v>9</v>
      </c>
      <c r="C136" s="7">
        <v>68</v>
      </c>
      <c r="D136" s="7" t="s">
        <v>66</v>
      </c>
      <c r="E136" s="7" t="s">
        <v>69</v>
      </c>
      <c r="F136" s="15" t="b">
        <f>FALSE()</f>
        <v>0</v>
      </c>
      <c r="G136" s="7" t="s">
        <v>91</v>
      </c>
      <c r="H136" s="7" t="str">
        <f t="shared" si="2"/>
        <v>gemini|no_guideline|68</v>
      </c>
    </row>
    <row r="137" spans="1:8" x14ac:dyDescent="0.2">
      <c r="A137" s="7" t="s">
        <v>30</v>
      </c>
      <c r="B137" s="7" t="s">
        <v>27</v>
      </c>
      <c r="C137" s="7">
        <v>1</v>
      </c>
      <c r="D137" s="7" t="s">
        <v>66</v>
      </c>
      <c r="E137" s="7" t="s">
        <v>66</v>
      </c>
      <c r="F137" s="14" t="b">
        <f>TRUE()</f>
        <v>1</v>
      </c>
      <c r="G137" s="7" t="s">
        <v>67</v>
      </c>
      <c r="H137" s="7" t="str">
        <f t="shared" si="2"/>
        <v>gemini|with_guideline|1</v>
      </c>
    </row>
    <row r="138" spans="1:8" x14ac:dyDescent="0.2">
      <c r="A138" s="7" t="s">
        <v>30</v>
      </c>
      <c r="B138" s="7" t="s">
        <v>27</v>
      </c>
      <c r="C138" s="7">
        <v>11</v>
      </c>
      <c r="D138" s="7" t="s">
        <v>66</v>
      </c>
      <c r="E138" s="7" t="s">
        <v>66</v>
      </c>
      <c r="F138" s="14" t="b">
        <f>TRUE()</f>
        <v>1</v>
      </c>
      <c r="G138" s="7" t="s">
        <v>68</v>
      </c>
      <c r="H138" s="7" t="str">
        <f t="shared" si="2"/>
        <v>gemini|with_guideline|11</v>
      </c>
    </row>
    <row r="139" spans="1:8" x14ac:dyDescent="0.2">
      <c r="A139" s="7" t="s">
        <v>30</v>
      </c>
      <c r="B139" s="7" t="s">
        <v>27</v>
      </c>
      <c r="C139" s="7">
        <v>12</v>
      </c>
      <c r="D139" s="7" t="s">
        <v>69</v>
      </c>
      <c r="E139" s="7" t="s">
        <v>69</v>
      </c>
      <c r="F139" s="14" t="b">
        <f>TRUE()</f>
        <v>1</v>
      </c>
      <c r="G139" s="7" t="s">
        <v>70</v>
      </c>
      <c r="H139" s="7" t="str">
        <f t="shared" si="2"/>
        <v>gemini|with_guideline|12</v>
      </c>
    </row>
    <row r="140" spans="1:8" x14ac:dyDescent="0.2">
      <c r="A140" s="7" t="s">
        <v>30</v>
      </c>
      <c r="B140" s="7" t="s">
        <v>27</v>
      </c>
      <c r="C140" s="7">
        <v>13</v>
      </c>
      <c r="D140" s="7" t="s">
        <v>66</v>
      </c>
      <c r="E140" s="7" t="s">
        <v>66</v>
      </c>
      <c r="F140" s="14" t="b">
        <f>TRUE()</f>
        <v>1</v>
      </c>
      <c r="G140" s="7" t="s">
        <v>71</v>
      </c>
      <c r="H140" s="7" t="str">
        <f t="shared" si="2"/>
        <v>gemini|with_guideline|13</v>
      </c>
    </row>
    <row r="141" spans="1:8" x14ac:dyDescent="0.2">
      <c r="A141" s="7" t="s">
        <v>30</v>
      </c>
      <c r="B141" s="7" t="s">
        <v>27</v>
      </c>
      <c r="C141" s="7">
        <v>14</v>
      </c>
      <c r="D141" s="7" t="s">
        <v>69</v>
      </c>
      <c r="E141" s="7" t="s">
        <v>69</v>
      </c>
      <c r="F141" s="14" t="b">
        <f>TRUE()</f>
        <v>1</v>
      </c>
      <c r="G141" s="7" t="s">
        <v>72</v>
      </c>
      <c r="H141" s="7" t="str">
        <f t="shared" si="2"/>
        <v>gemini|with_guideline|14</v>
      </c>
    </row>
    <row r="142" spans="1:8" x14ac:dyDescent="0.2">
      <c r="A142" s="7" t="s">
        <v>30</v>
      </c>
      <c r="B142" s="7" t="s">
        <v>27</v>
      </c>
      <c r="C142" s="7">
        <v>15</v>
      </c>
      <c r="D142" s="7" t="s">
        <v>66</v>
      </c>
      <c r="E142" s="7" t="s">
        <v>66</v>
      </c>
      <c r="F142" s="14" t="b">
        <f>TRUE()</f>
        <v>1</v>
      </c>
      <c r="G142" s="7" t="s">
        <v>73</v>
      </c>
      <c r="H142" s="7" t="str">
        <f t="shared" si="2"/>
        <v>gemini|with_guideline|15</v>
      </c>
    </row>
    <row r="143" spans="1:8" x14ac:dyDescent="0.2">
      <c r="A143" s="7" t="s">
        <v>30</v>
      </c>
      <c r="B143" s="7" t="s">
        <v>27</v>
      </c>
      <c r="C143" s="7">
        <v>16</v>
      </c>
      <c r="D143" s="7" t="s">
        <v>69</v>
      </c>
      <c r="E143" s="7" t="s">
        <v>69</v>
      </c>
      <c r="F143" s="14" t="b">
        <f>TRUE()</f>
        <v>1</v>
      </c>
      <c r="G143" s="7" t="s">
        <v>74</v>
      </c>
      <c r="H143" s="7" t="str">
        <f t="shared" si="2"/>
        <v>gemini|with_guideline|16</v>
      </c>
    </row>
    <row r="144" spans="1:8" x14ac:dyDescent="0.2">
      <c r="A144" s="7" t="s">
        <v>30</v>
      </c>
      <c r="B144" s="7" t="s">
        <v>27</v>
      </c>
      <c r="C144" s="7">
        <v>17</v>
      </c>
      <c r="D144" s="7" t="s">
        <v>66</v>
      </c>
      <c r="E144" s="7" t="s">
        <v>66</v>
      </c>
      <c r="F144" s="14" t="b">
        <f>TRUE()</f>
        <v>1</v>
      </c>
      <c r="G144" s="7" t="s">
        <v>75</v>
      </c>
      <c r="H144" s="7" t="str">
        <f t="shared" si="2"/>
        <v>gemini|with_guideline|17</v>
      </c>
    </row>
    <row r="145" spans="1:8" x14ac:dyDescent="0.2">
      <c r="A145" s="7" t="s">
        <v>30</v>
      </c>
      <c r="B145" s="7" t="s">
        <v>27</v>
      </c>
      <c r="C145" s="7">
        <v>18</v>
      </c>
      <c r="D145" s="7" t="s">
        <v>69</v>
      </c>
      <c r="E145" s="7" t="s">
        <v>66</v>
      </c>
      <c r="F145" s="15" t="b">
        <f>FALSE()</f>
        <v>0</v>
      </c>
      <c r="G145" s="7" t="s">
        <v>76</v>
      </c>
      <c r="H145" s="7" t="str">
        <f t="shared" si="2"/>
        <v>gemini|with_guideline|18</v>
      </c>
    </row>
    <row r="146" spans="1:8" x14ac:dyDescent="0.2">
      <c r="A146" s="7" t="s">
        <v>30</v>
      </c>
      <c r="B146" s="7" t="s">
        <v>27</v>
      </c>
      <c r="C146" s="7">
        <v>19</v>
      </c>
      <c r="D146" s="7" t="s">
        <v>66</v>
      </c>
      <c r="E146" s="7" t="s">
        <v>66</v>
      </c>
      <c r="F146" s="14" t="b">
        <f>TRUE()</f>
        <v>1</v>
      </c>
      <c r="G146" s="7" t="s">
        <v>77</v>
      </c>
      <c r="H146" s="7" t="str">
        <f t="shared" si="2"/>
        <v>gemini|with_guideline|19</v>
      </c>
    </row>
    <row r="147" spans="1:8" x14ac:dyDescent="0.2">
      <c r="A147" s="7" t="s">
        <v>30</v>
      </c>
      <c r="B147" s="7" t="s">
        <v>27</v>
      </c>
      <c r="C147" s="7">
        <v>20</v>
      </c>
      <c r="D147" s="7" t="s">
        <v>69</v>
      </c>
      <c r="E147" s="7" t="s">
        <v>69</v>
      </c>
      <c r="F147" s="14" t="b">
        <f>TRUE()</f>
        <v>1</v>
      </c>
      <c r="G147" s="7" t="s">
        <v>78</v>
      </c>
      <c r="H147" s="7" t="str">
        <f t="shared" si="2"/>
        <v>gemini|with_guideline|20</v>
      </c>
    </row>
    <row r="148" spans="1:8" x14ac:dyDescent="0.2">
      <c r="A148" s="7" t="s">
        <v>30</v>
      </c>
      <c r="B148" s="7" t="s">
        <v>27</v>
      </c>
      <c r="C148" s="7">
        <v>21</v>
      </c>
      <c r="D148" s="7" t="s">
        <v>69</v>
      </c>
      <c r="E148" s="7" t="s">
        <v>82</v>
      </c>
      <c r="F148" s="15" t="b">
        <f>FALSE()</f>
        <v>0</v>
      </c>
      <c r="G148" s="7" t="s">
        <v>79</v>
      </c>
      <c r="H148" s="7" t="str">
        <f t="shared" si="2"/>
        <v>gemini|with_guideline|21</v>
      </c>
    </row>
    <row r="149" spans="1:8" x14ac:dyDescent="0.2">
      <c r="A149" s="7" t="s">
        <v>30</v>
      </c>
      <c r="B149" s="7" t="s">
        <v>27</v>
      </c>
      <c r="C149" s="7">
        <v>22</v>
      </c>
      <c r="D149" s="7" t="s">
        <v>66</v>
      </c>
      <c r="E149" s="7" t="s">
        <v>66</v>
      </c>
      <c r="F149" s="14" t="b">
        <f>TRUE()</f>
        <v>1</v>
      </c>
      <c r="G149" s="7" t="s">
        <v>80</v>
      </c>
      <c r="H149" s="7" t="str">
        <f t="shared" si="2"/>
        <v>gemini|with_guideline|22</v>
      </c>
    </row>
    <row r="150" spans="1:8" x14ac:dyDescent="0.2">
      <c r="A150" s="7" t="s">
        <v>30</v>
      </c>
      <c r="B150" s="7" t="s">
        <v>27</v>
      </c>
      <c r="C150" s="7">
        <v>31</v>
      </c>
      <c r="D150" s="7" t="s">
        <v>69</v>
      </c>
      <c r="E150" s="7" t="s">
        <v>69</v>
      </c>
      <c r="F150" s="14" t="b">
        <f>TRUE()</f>
        <v>1</v>
      </c>
      <c r="G150" s="7" t="s">
        <v>81</v>
      </c>
      <c r="H150" s="7" t="str">
        <f t="shared" si="2"/>
        <v>gemini|with_guideline|31</v>
      </c>
    </row>
    <row r="151" spans="1:8" x14ac:dyDescent="0.2">
      <c r="A151" s="7" t="s">
        <v>30</v>
      </c>
      <c r="B151" s="7" t="s">
        <v>27</v>
      </c>
      <c r="C151" s="7">
        <v>32</v>
      </c>
      <c r="D151" s="7" t="s">
        <v>82</v>
      </c>
      <c r="E151" s="7" t="s">
        <v>82</v>
      </c>
      <c r="F151" s="14" t="b">
        <f>TRUE()</f>
        <v>1</v>
      </c>
      <c r="G151" s="7" t="s">
        <v>83</v>
      </c>
      <c r="H151" s="7" t="str">
        <f t="shared" si="2"/>
        <v>gemini|with_guideline|32</v>
      </c>
    </row>
    <row r="152" spans="1:8" x14ac:dyDescent="0.2">
      <c r="A152" s="7" t="s">
        <v>30</v>
      </c>
      <c r="B152" s="7" t="s">
        <v>27</v>
      </c>
      <c r="C152" s="7">
        <v>41</v>
      </c>
      <c r="D152" s="7" t="s">
        <v>82</v>
      </c>
      <c r="E152" s="7" t="s">
        <v>82</v>
      </c>
      <c r="F152" s="14" t="b">
        <f>TRUE()</f>
        <v>1</v>
      </c>
      <c r="G152" s="7" t="s">
        <v>84</v>
      </c>
      <c r="H152" s="7" t="str">
        <f t="shared" si="2"/>
        <v>gemini|with_guideline|41</v>
      </c>
    </row>
    <row r="153" spans="1:8" x14ac:dyDescent="0.2">
      <c r="A153" s="7" t="s">
        <v>30</v>
      </c>
      <c r="B153" s="7" t="s">
        <v>27</v>
      </c>
      <c r="C153" s="7">
        <v>42</v>
      </c>
      <c r="D153" s="7" t="s">
        <v>82</v>
      </c>
      <c r="E153" s="7" t="s">
        <v>82</v>
      </c>
      <c r="F153" s="14" t="b">
        <f>TRUE()</f>
        <v>1</v>
      </c>
      <c r="G153" s="7" t="s">
        <v>85</v>
      </c>
      <c r="H153" s="7" t="str">
        <f t="shared" si="2"/>
        <v>gemini|with_guideline|42</v>
      </c>
    </row>
    <row r="154" spans="1:8" x14ac:dyDescent="0.2">
      <c r="A154" s="7" t="s">
        <v>30</v>
      </c>
      <c r="B154" s="7" t="s">
        <v>27</v>
      </c>
      <c r="C154" s="7">
        <v>51</v>
      </c>
      <c r="D154" s="7" t="s">
        <v>69</v>
      </c>
      <c r="E154" s="7" t="s">
        <v>69</v>
      </c>
      <c r="F154" s="14" t="b">
        <f>TRUE()</f>
        <v>1</v>
      </c>
      <c r="G154" s="7" t="s">
        <v>86</v>
      </c>
      <c r="H154" s="7" t="str">
        <f t="shared" si="2"/>
        <v>gemini|with_guideline|51</v>
      </c>
    </row>
    <row r="155" spans="1:8" x14ac:dyDescent="0.2">
      <c r="A155" s="7" t="s">
        <v>30</v>
      </c>
      <c r="B155" s="7" t="s">
        <v>27</v>
      </c>
      <c r="C155" s="7">
        <v>52</v>
      </c>
      <c r="D155" s="7" t="s">
        <v>69</v>
      </c>
      <c r="E155" s="7" t="s">
        <v>69</v>
      </c>
      <c r="F155" s="14" t="b">
        <f>TRUE()</f>
        <v>1</v>
      </c>
      <c r="G155" s="7" t="s">
        <v>87</v>
      </c>
      <c r="H155" s="7" t="str">
        <f t="shared" si="2"/>
        <v>gemini|with_guideline|52</v>
      </c>
    </row>
    <row r="156" spans="1:8" x14ac:dyDescent="0.2">
      <c r="A156" s="7" t="s">
        <v>30</v>
      </c>
      <c r="B156" s="7" t="s">
        <v>27</v>
      </c>
      <c r="C156" s="7">
        <v>61</v>
      </c>
      <c r="D156" s="7" t="s">
        <v>66</v>
      </c>
      <c r="E156" s="7" t="s">
        <v>66</v>
      </c>
      <c r="F156" s="14" t="b">
        <f>TRUE()</f>
        <v>1</v>
      </c>
      <c r="G156" s="7" t="s">
        <v>75</v>
      </c>
      <c r="H156" s="7" t="str">
        <f t="shared" si="2"/>
        <v>gemini|with_guideline|61</v>
      </c>
    </row>
    <row r="157" spans="1:8" x14ac:dyDescent="0.2">
      <c r="A157" s="7" t="s">
        <v>30</v>
      </c>
      <c r="B157" s="7" t="s">
        <v>27</v>
      </c>
      <c r="C157" s="7">
        <v>62</v>
      </c>
      <c r="D157" s="7" t="s">
        <v>69</v>
      </c>
      <c r="E157" s="7" t="s">
        <v>66</v>
      </c>
      <c r="F157" s="15" t="b">
        <f>FALSE()</f>
        <v>0</v>
      </c>
      <c r="G157" s="7" t="s">
        <v>76</v>
      </c>
      <c r="H157" s="7" t="str">
        <f t="shared" si="2"/>
        <v>gemini|with_guideline|62</v>
      </c>
    </row>
    <row r="158" spans="1:8" x14ac:dyDescent="0.2">
      <c r="A158" s="7" t="s">
        <v>30</v>
      </c>
      <c r="B158" s="7" t="s">
        <v>27</v>
      </c>
      <c r="C158" s="7">
        <v>63</v>
      </c>
      <c r="D158" s="7" t="s">
        <v>69</v>
      </c>
      <c r="E158" s="7" t="s">
        <v>69</v>
      </c>
      <c r="F158" s="14" t="b">
        <f>TRUE()</f>
        <v>1</v>
      </c>
      <c r="G158" s="7" t="s">
        <v>88</v>
      </c>
      <c r="H158" s="7" t="str">
        <f t="shared" si="2"/>
        <v>gemini|with_guideline|63</v>
      </c>
    </row>
    <row r="159" spans="1:8" x14ac:dyDescent="0.2">
      <c r="A159" s="7" t="s">
        <v>30</v>
      </c>
      <c r="B159" s="7" t="s">
        <v>27</v>
      </c>
      <c r="C159" s="7">
        <v>64</v>
      </c>
      <c r="D159" s="7" t="s">
        <v>66</v>
      </c>
      <c r="E159" s="7" t="s">
        <v>66</v>
      </c>
      <c r="F159" s="14" t="b">
        <f>TRUE()</f>
        <v>1</v>
      </c>
      <c r="G159" s="7" t="s">
        <v>77</v>
      </c>
      <c r="H159" s="7" t="str">
        <f t="shared" si="2"/>
        <v>gemini|with_guideline|64</v>
      </c>
    </row>
    <row r="160" spans="1:8" x14ac:dyDescent="0.2">
      <c r="A160" s="7" t="s">
        <v>30</v>
      </c>
      <c r="B160" s="7" t="s">
        <v>27</v>
      </c>
      <c r="C160" s="7">
        <v>65</v>
      </c>
      <c r="D160" s="7" t="s">
        <v>69</v>
      </c>
      <c r="E160" s="7" t="s">
        <v>69</v>
      </c>
      <c r="F160" s="14" t="b">
        <f>TRUE()</f>
        <v>1</v>
      </c>
      <c r="G160" s="7" t="s">
        <v>78</v>
      </c>
      <c r="H160" s="7" t="str">
        <f t="shared" si="2"/>
        <v>gemini|with_guideline|65</v>
      </c>
    </row>
    <row r="161" spans="1:8" x14ac:dyDescent="0.2">
      <c r="A161" s="7" t="s">
        <v>30</v>
      </c>
      <c r="B161" s="7" t="s">
        <v>27</v>
      </c>
      <c r="C161" s="7">
        <v>66</v>
      </c>
      <c r="D161" s="7" t="s">
        <v>66</v>
      </c>
      <c r="E161" s="7" t="s">
        <v>66</v>
      </c>
      <c r="F161" s="14" t="b">
        <f>TRUE()</f>
        <v>1</v>
      </c>
      <c r="G161" s="7" t="s">
        <v>89</v>
      </c>
      <c r="H161" s="7" t="str">
        <f t="shared" si="2"/>
        <v>gemini|with_guideline|66</v>
      </c>
    </row>
    <row r="162" spans="1:8" x14ac:dyDescent="0.2">
      <c r="A162" s="7" t="s">
        <v>30</v>
      </c>
      <c r="B162" s="7" t="s">
        <v>27</v>
      </c>
      <c r="C162" s="7">
        <v>67</v>
      </c>
      <c r="D162" s="7" t="s">
        <v>69</v>
      </c>
      <c r="E162" s="7" t="s">
        <v>69</v>
      </c>
      <c r="F162" s="14" t="b">
        <f>TRUE()</f>
        <v>1</v>
      </c>
      <c r="G162" s="7" t="s">
        <v>90</v>
      </c>
      <c r="H162" s="7" t="str">
        <f t="shared" si="2"/>
        <v>gemini|with_guideline|67</v>
      </c>
    </row>
    <row r="163" spans="1:8" x14ac:dyDescent="0.2">
      <c r="A163" s="7" t="s">
        <v>30</v>
      </c>
      <c r="B163" s="7" t="s">
        <v>27</v>
      </c>
      <c r="C163" s="7">
        <v>68</v>
      </c>
      <c r="D163" s="7" t="s">
        <v>66</v>
      </c>
      <c r="E163" s="7" t="s">
        <v>66</v>
      </c>
      <c r="F163" s="14" t="b">
        <f>TRUE()</f>
        <v>1</v>
      </c>
      <c r="G163" s="7" t="s">
        <v>91</v>
      </c>
      <c r="H163" s="7" t="str">
        <f t="shared" si="2"/>
        <v>gemini|with_guideline|68</v>
      </c>
    </row>
    <row r="164" spans="1:8" x14ac:dyDescent="0.2">
      <c r="A164" s="7" t="s">
        <v>31</v>
      </c>
      <c r="B164" s="7" t="s">
        <v>9</v>
      </c>
      <c r="C164" s="7">
        <v>1</v>
      </c>
      <c r="D164" s="7" t="s">
        <v>66</v>
      </c>
      <c r="E164" s="7" t="s">
        <v>29</v>
      </c>
      <c r="F164" s="15" t="b">
        <f>FALSE()</f>
        <v>0</v>
      </c>
      <c r="G164" s="7" t="s">
        <v>67</v>
      </c>
      <c r="H164" s="7" t="str">
        <f t="shared" si="2"/>
        <v>llama|no_guideline|1</v>
      </c>
    </row>
    <row r="165" spans="1:8" x14ac:dyDescent="0.2">
      <c r="A165" s="7" t="s">
        <v>31</v>
      </c>
      <c r="B165" s="7" t="s">
        <v>9</v>
      </c>
      <c r="C165" s="7">
        <v>11</v>
      </c>
      <c r="D165" s="7" t="s">
        <v>66</v>
      </c>
      <c r="E165" s="7" t="s">
        <v>29</v>
      </c>
      <c r="F165" s="15" t="b">
        <f>FALSE()</f>
        <v>0</v>
      </c>
      <c r="G165" s="7" t="s">
        <v>68</v>
      </c>
      <c r="H165" s="7" t="str">
        <f t="shared" si="2"/>
        <v>llama|no_guideline|11</v>
      </c>
    </row>
    <row r="166" spans="1:8" x14ac:dyDescent="0.2">
      <c r="A166" s="7" t="s">
        <v>31</v>
      </c>
      <c r="B166" s="7" t="s">
        <v>9</v>
      </c>
      <c r="C166" s="7">
        <v>12</v>
      </c>
      <c r="D166" s="7" t="s">
        <v>69</v>
      </c>
      <c r="E166" s="7" t="s">
        <v>29</v>
      </c>
      <c r="F166" s="15" t="b">
        <f>FALSE()</f>
        <v>0</v>
      </c>
      <c r="G166" s="7" t="s">
        <v>70</v>
      </c>
      <c r="H166" s="7" t="str">
        <f t="shared" si="2"/>
        <v>llama|no_guideline|12</v>
      </c>
    </row>
    <row r="167" spans="1:8" x14ac:dyDescent="0.2">
      <c r="A167" s="7" t="s">
        <v>31</v>
      </c>
      <c r="B167" s="7" t="s">
        <v>9</v>
      </c>
      <c r="C167" s="7">
        <v>13</v>
      </c>
      <c r="D167" s="7" t="s">
        <v>66</v>
      </c>
      <c r="E167" s="7" t="s">
        <v>29</v>
      </c>
      <c r="F167" s="15" t="b">
        <f>FALSE()</f>
        <v>0</v>
      </c>
      <c r="G167" s="7" t="s">
        <v>71</v>
      </c>
      <c r="H167" s="7" t="str">
        <f t="shared" si="2"/>
        <v>llama|no_guideline|13</v>
      </c>
    </row>
    <row r="168" spans="1:8" x14ac:dyDescent="0.2">
      <c r="A168" s="7" t="s">
        <v>31</v>
      </c>
      <c r="B168" s="7" t="s">
        <v>9</v>
      </c>
      <c r="C168" s="7">
        <v>14</v>
      </c>
      <c r="D168" s="7" t="s">
        <v>69</v>
      </c>
      <c r="E168" s="7" t="s">
        <v>29</v>
      </c>
      <c r="F168" s="15" t="b">
        <f>FALSE()</f>
        <v>0</v>
      </c>
      <c r="G168" s="7" t="s">
        <v>72</v>
      </c>
      <c r="H168" s="7" t="str">
        <f t="shared" si="2"/>
        <v>llama|no_guideline|14</v>
      </c>
    </row>
    <row r="169" spans="1:8" x14ac:dyDescent="0.2">
      <c r="A169" s="7" t="s">
        <v>31</v>
      </c>
      <c r="B169" s="7" t="s">
        <v>9</v>
      </c>
      <c r="C169" s="7">
        <v>15</v>
      </c>
      <c r="D169" s="7" t="s">
        <v>66</v>
      </c>
      <c r="E169" s="7" t="s">
        <v>29</v>
      </c>
      <c r="F169" s="15" t="b">
        <f>FALSE()</f>
        <v>0</v>
      </c>
      <c r="G169" s="7" t="s">
        <v>73</v>
      </c>
      <c r="H169" s="7" t="str">
        <f t="shared" si="2"/>
        <v>llama|no_guideline|15</v>
      </c>
    </row>
    <row r="170" spans="1:8" x14ac:dyDescent="0.2">
      <c r="A170" s="7" t="s">
        <v>31</v>
      </c>
      <c r="B170" s="7" t="s">
        <v>9</v>
      </c>
      <c r="C170" s="7">
        <v>16</v>
      </c>
      <c r="D170" s="7" t="s">
        <v>69</v>
      </c>
      <c r="E170" s="7" t="s">
        <v>29</v>
      </c>
      <c r="F170" s="15" t="b">
        <f>FALSE()</f>
        <v>0</v>
      </c>
      <c r="G170" s="7" t="s">
        <v>74</v>
      </c>
      <c r="H170" s="7" t="str">
        <f t="shared" si="2"/>
        <v>llama|no_guideline|16</v>
      </c>
    </row>
    <row r="171" spans="1:8" x14ac:dyDescent="0.2">
      <c r="A171" s="7" t="s">
        <v>31</v>
      </c>
      <c r="B171" s="7" t="s">
        <v>9</v>
      </c>
      <c r="C171" s="7">
        <v>17</v>
      </c>
      <c r="D171" s="7" t="s">
        <v>66</v>
      </c>
      <c r="E171" s="7" t="s">
        <v>29</v>
      </c>
      <c r="F171" s="15" t="b">
        <f>FALSE()</f>
        <v>0</v>
      </c>
      <c r="G171" s="7" t="s">
        <v>75</v>
      </c>
      <c r="H171" s="7" t="str">
        <f t="shared" si="2"/>
        <v>llama|no_guideline|17</v>
      </c>
    </row>
    <row r="172" spans="1:8" x14ac:dyDescent="0.2">
      <c r="A172" s="7" t="s">
        <v>31</v>
      </c>
      <c r="B172" s="7" t="s">
        <v>9</v>
      </c>
      <c r="C172" s="7">
        <v>18</v>
      </c>
      <c r="D172" s="7" t="s">
        <v>69</v>
      </c>
      <c r="E172" s="7" t="s">
        <v>29</v>
      </c>
      <c r="F172" s="15" t="b">
        <f>FALSE()</f>
        <v>0</v>
      </c>
      <c r="G172" s="7" t="s">
        <v>76</v>
      </c>
      <c r="H172" s="7" t="str">
        <f t="shared" si="2"/>
        <v>llama|no_guideline|18</v>
      </c>
    </row>
    <row r="173" spans="1:8" x14ac:dyDescent="0.2">
      <c r="A173" s="7" t="s">
        <v>31</v>
      </c>
      <c r="B173" s="7" t="s">
        <v>9</v>
      </c>
      <c r="C173" s="7">
        <v>19</v>
      </c>
      <c r="D173" s="7" t="s">
        <v>66</v>
      </c>
      <c r="E173" s="7" t="s">
        <v>29</v>
      </c>
      <c r="F173" s="15" t="b">
        <f>FALSE()</f>
        <v>0</v>
      </c>
      <c r="G173" s="7" t="s">
        <v>77</v>
      </c>
      <c r="H173" s="7" t="str">
        <f t="shared" si="2"/>
        <v>llama|no_guideline|19</v>
      </c>
    </row>
    <row r="174" spans="1:8" x14ac:dyDescent="0.2">
      <c r="A174" s="7" t="s">
        <v>31</v>
      </c>
      <c r="B174" s="7" t="s">
        <v>9</v>
      </c>
      <c r="C174" s="7">
        <v>20</v>
      </c>
      <c r="D174" s="7" t="s">
        <v>69</v>
      </c>
      <c r="E174" s="7" t="s">
        <v>29</v>
      </c>
      <c r="F174" s="15" t="b">
        <f>FALSE()</f>
        <v>0</v>
      </c>
      <c r="G174" s="7" t="s">
        <v>78</v>
      </c>
      <c r="H174" s="7" t="str">
        <f t="shared" si="2"/>
        <v>llama|no_guideline|20</v>
      </c>
    </row>
    <row r="175" spans="1:8" x14ac:dyDescent="0.2">
      <c r="A175" s="7" t="s">
        <v>31</v>
      </c>
      <c r="B175" s="7" t="s">
        <v>9</v>
      </c>
      <c r="C175" s="7">
        <v>21</v>
      </c>
      <c r="D175" s="7" t="s">
        <v>69</v>
      </c>
      <c r="E175" s="7" t="s">
        <v>29</v>
      </c>
      <c r="F175" s="15" t="b">
        <f>FALSE()</f>
        <v>0</v>
      </c>
      <c r="G175" s="7" t="s">
        <v>79</v>
      </c>
      <c r="H175" s="7" t="str">
        <f t="shared" si="2"/>
        <v>llama|no_guideline|21</v>
      </c>
    </row>
    <row r="176" spans="1:8" x14ac:dyDescent="0.2">
      <c r="A176" s="7" t="s">
        <v>31</v>
      </c>
      <c r="B176" s="7" t="s">
        <v>9</v>
      </c>
      <c r="C176" s="7">
        <v>22</v>
      </c>
      <c r="D176" s="7" t="s">
        <v>66</v>
      </c>
      <c r="E176" s="7" t="s">
        <v>29</v>
      </c>
      <c r="F176" s="15" t="b">
        <f>FALSE()</f>
        <v>0</v>
      </c>
      <c r="G176" s="7" t="s">
        <v>80</v>
      </c>
      <c r="H176" s="7" t="str">
        <f t="shared" si="2"/>
        <v>llama|no_guideline|22</v>
      </c>
    </row>
    <row r="177" spans="1:8" x14ac:dyDescent="0.2">
      <c r="A177" s="7" t="s">
        <v>31</v>
      </c>
      <c r="B177" s="7" t="s">
        <v>9</v>
      </c>
      <c r="C177" s="7">
        <v>31</v>
      </c>
      <c r="D177" s="7" t="s">
        <v>69</v>
      </c>
      <c r="E177" s="7" t="s">
        <v>29</v>
      </c>
      <c r="F177" s="15" t="b">
        <f>FALSE()</f>
        <v>0</v>
      </c>
      <c r="G177" s="7" t="s">
        <v>81</v>
      </c>
      <c r="H177" s="7" t="str">
        <f t="shared" si="2"/>
        <v>llama|no_guideline|31</v>
      </c>
    </row>
    <row r="178" spans="1:8" x14ac:dyDescent="0.2">
      <c r="A178" s="7" t="s">
        <v>31</v>
      </c>
      <c r="B178" s="7" t="s">
        <v>9</v>
      </c>
      <c r="C178" s="7">
        <v>32</v>
      </c>
      <c r="D178" s="7" t="s">
        <v>82</v>
      </c>
      <c r="E178" s="7" t="s">
        <v>29</v>
      </c>
      <c r="F178" s="15" t="b">
        <f>FALSE()</f>
        <v>0</v>
      </c>
      <c r="G178" s="7" t="s">
        <v>83</v>
      </c>
      <c r="H178" s="7" t="str">
        <f t="shared" si="2"/>
        <v>llama|no_guideline|32</v>
      </c>
    </row>
    <row r="179" spans="1:8" x14ac:dyDescent="0.2">
      <c r="A179" s="7" t="s">
        <v>31</v>
      </c>
      <c r="B179" s="7" t="s">
        <v>9</v>
      </c>
      <c r="C179" s="7">
        <v>41</v>
      </c>
      <c r="D179" s="7" t="s">
        <v>82</v>
      </c>
      <c r="E179" s="7" t="s">
        <v>29</v>
      </c>
      <c r="F179" s="15" t="b">
        <f>FALSE()</f>
        <v>0</v>
      </c>
      <c r="G179" s="7" t="s">
        <v>84</v>
      </c>
      <c r="H179" s="7" t="str">
        <f t="shared" si="2"/>
        <v>llama|no_guideline|41</v>
      </c>
    </row>
    <row r="180" spans="1:8" x14ac:dyDescent="0.2">
      <c r="A180" s="7" t="s">
        <v>31</v>
      </c>
      <c r="B180" s="7" t="s">
        <v>9</v>
      </c>
      <c r="C180" s="7">
        <v>42</v>
      </c>
      <c r="D180" s="7" t="s">
        <v>82</v>
      </c>
      <c r="E180" s="7" t="s">
        <v>29</v>
      </c>
      <c r="F180" s="15" t="b">
        <f>FALSE()</f>
        <v>0</v>
      </c>
      <c r="G180" s="7" t="s">
        <v>85</v>
      </c>
      <c r="H180" s="7" t="str">
        <f t="shared" si="2"/>
        <v>llama|no_guideline|42</v>
      </c>
    </row>
    <row r="181" spans="1:8" x14ac:dyDescent="0.2">
      <c r="A181" s="7" t="s">
        <v>31</v>
      </c>
      <c r="B181" s="7" t="s">
        <v>9</v>
      </c>
      <c r="C181" s="7">
        <v>51</v>
      </c>
      <c r="D181" s="7" t="s">
        <v>69</v>
      </c>
      <c r="E181" s="7" t="s">
        <v>29</v>
      </c>
      <c r="F181" s="15" t="b">
        <f>FALSE()</f>
        <v>0</v>
      </c>
      <c r="G181" s="7" t="s">
        <v>86</v>
      </c>
      <c r="H181" s="7" t="str">
        <f t="shared" si="2"/>
        <v>llama|no_guideline|51</v>
      </c>
    </row>
    <row r="182" spans="1:8" x14ac:dyDescent="0.2">
      <c r="A182" s="7" t="s">
        <v>31</v>
      </c>
      <c r="B182" s="7" t="s">
        <v>9</v>
      </c>
      <c r="C182" s="7">
        <v>52</v>
      </c>
      <c r="D182" s="7" t="s">
        <v>69</v>
      </c>
      <c r="E182" s="7" t="s">
        <v>29</v>
      </c>
      <c r="F182" s="15" t="b">
        <f>FALSE()</f>
        <v>0</v>
      </c>
      <c r="G182" s="7" t="s">
        <v>87</v>
      </c>
      <c r="H182" s="7" t="str">
        <f t="shared" si="2"/>
        <v>llama|no_guideline|52</v>
      </c>
    </row>
    <row r="183" spans="1:8" x14ac:dyDescent="0.2">
      <c r="A183" s="7" t="s">
        <v>31</v>
      </c>
      <c r="B183" s="7" t="s">
        <v>9</v>
      </c>
      <c r="C183" s="7">
        <v>61</v>
      </c>
      <c r="D183" s="7" t="s">
        <v>66</v>
      </c>
      <c r="E183" s="7" t="s">
        <v>29</v>
      </c>
      <c r="F183" s="15" t="b">
        <f>FALSE()</f>
        <v>0</v>
      </c>
      <c r="G183" s="7" t="s">
        <v>75</v>
      </c>
      <c r="H183" s="7" t="str">
        <f t="shared" si="2"/>
        <v>llama|no_guideline|61</v>
      </c>
    </row>
    <row r="184" spans="1:8" x14ac:dyDescent="0.2">
      <c r="A184" s="7" t="s">
        <v>31</v>
      </c>
      <c r="B184" s="7" t="s">
        <v>9</v>
      </c>
      <c r="C184" s="7">
        <v>62</v>
      </c>
      <c r="D184" s="7" t="s">
        <v>69</v>
      </c>
      <c r="E184" s="7" t="s">
        <v>29</v>
      </c>
      <c r="F184" s="15" t="b">
        <f>FALSE()</f>
        <v>0</v>
      </c>
      <c r="G184" s="7" t="s">
        <v>76</v>
      </c>
      <c r="H184" s="7" t="str">
        <f t="shared" si="2"/>
        <v>llama|no_guideline|62</v>
      </c>
    </row>
    <row r="185" spans="1:8" x14ac:dyDescent="0.2">
      <c r="A185" s="7" t="s">
        <v>31</v>
      </c>
      <c r="B185" s="7" t="s">
        <v>9</v>
      </c>
      <c r="C185" s="7">
        <v>63</v>
      </c>
      <c r="D185" s="7" t="s">
        <v>69</v>
      </c>
      <c r="E185" s="7" t="s">
        <v>29</v>
      </c>
      <c r="F185" s="15" t="b">
        <f>FALSE()</f>
        <v>0</v>
      </c>
      <c r="G185" s="7" t="s">
        <v>88</v>
      </c>
      <c r="H185" s="7" t="str">
        <f t="shared" si="2"/>
        <v>llama|no_guideline|63</v>
      </c>
    </row>
    <row r="186" spans="1:8" x14ac:dyDescent="0.2">
      <c r="A186" s="7" t="s">
        <v>31</v>
      </c>
      <c r="B186" s="7" t="s">
        <v>9</v>
      </c>
      <c r="C186" s="7">
        <v>64</v>
      </c>
      <c r="D186" s="7" t="s">
        <v>66</v>
      </c>
      <c r="E186" s="7" t="s">
        <v>29</v>
      </c>
      <c r="F186" s="15" t="b">
        <f>FALSE()</f>
        <v>0</v>
      </c>
      <c r="G186" s="7" t="s">
        <v>77</v>
      </c>
      <c r="H186" s="7" t="str">
        <f t="shared" si="2"/>
        <v>llama|no_guideline|64</v>
      </c>
    </row>
    <row r="187" spans="1:8" x14ac:dyDescent="0.2">
      <c r="A187" s="7" t="s">
        <v>31</v>
      </c>
      <c r="B187" s="7" t="s">
        <v>9</v>
      </c>
      <c r="C187" s="7">
        <v>65</v>
      </c>
      <c r="D187" s="7" t="s">
        <v>69</v>
      </c>
      <c r="E187" s="7" t="s">
        <v>29</v>
      </c>
      <c r="F187" s="15" t="b">
        <f>FALSE()</f>
        <v>0</v>
      </c>
      <c r="G187" s="7" t="s">
        <v>78</v>
      </c>
      <c r="H187" s="7" t="str">
        <f t="shared" si="2"/>
        <v>llama|no_guideline|65</v>
      </c>
    </row>
    <row r="188" spans="1:8" x14ac:dyDescent="0.2">
      <c r="A188" s="7" t="s">
        <v>31</v>
      </c>
      <c r="B188" s="7" t="s">
        <v>9</v>
      </c>
      <c r="C188" s="7">
        <v>66</v>
      </c>
      <c r="D188" s="7" t="s">
        <v>66</v>
      </c>
      <c r="E188" s="7" t="s">
        <v>29</v>
      </c>
      <c r="F188" s="15" t="b">
        <f>FALSE()</f>
        <v>0</v>
      </c>
      <c r="G188" s="7" t="s">
        <v>89</v>
      </c>
      <c r="H188" s="7" t="str">
        <f t="shared" si="2"/>
        <v>llama|no_guideline|66</v>
      </c>
    </row>
    <row r="189" spans="1:8" x14ac:dyDescent="0.2">
      <c r="A189" s="7" t="s">
        <v>31</v>
      </c>
      <c r="B189" s="7" t="s">
        <v>9</v>
      </c>
      <c r="C189" s="7">
        <v>67</v>
      </c>
      <c r="D189" s="7" t="s">
        <v>69</v>
      </c>
      <c r="E189" s="7" t="s">
        <v>29</v>
      </c>
      <c r="F189" s="15" t="b">
        <f>FALSE()</f>
        <v>0</v>
      </c>
      <c r="G189" s="7" t="s">
        <v>90</v>
      </c>
      <c r="H189" s="7" t="str">
        <f t="shared" si="2"/>
        <v>llama|no_guideline|67</v>
      </c>
    </row>
    <row r="190" spans="1:8" x14ac:dyDescent="0.2">
      <c r="A190" s="7" t="s">
        <v>31</v>
      </c>
      <c r="B190" s="7" t="s">
        <v>9</v>
      </c>
      <c r="C190" s="7">
        <v>68</v>
      </c>
      <c r="D190" s="7" t="s">
        <v>66</v>
      </c>
      <c r="E190" s="7" t="s">
        <v>29</v>
      </c>
      <c r="F190" s="15" t="b">
        <f>FALSE()</f>
        <v>0</v>
      </c>
      <c r="G190" s="7" t="s">
        <v>91</v>
      </c>
      <c r="H190" s="7" t="str">
        <f t="shared" si="2"/>
        <v>llama|no_guideline|68</v>
      </c>
    </row>
    <row r="191" spans="1:8" x14ac:dyDescent="0.2">
      <c r="A191" s="7" t="s">
        <v>31</v>
      </c>
      <c r="B191" s="7" t="s">
        <v>27</v>
      </c>
      <c r="C191" s="7">
        <v>1</v>
      </c>
      <c r="D191" s="7" t="s">
        <v>66</v>
      </c>
      <c r="E191" s="7" t="s">
        <v>29</v>
      </c>
      <c r="F191" s="15" t="b">
        <f>FALSE()</f>
        <v>0</v>
      </c>
      <c r="G191" s="7" t="s">
        <v>67</v>
      </c>
      <c r="H191" s="7" t="str">
        <f t="shared" si="2"/>
        <v>llama|with_guideline|1</v>
      </c>
    </row>
    <row r="192" spans="1:8" x14ac:dyDescent="0.2">
      <c r="A192" s="7" t="s">
        <v>31</v>
      </c>
      <c r="B192" s="7" t="s">
        <v>27</v>
      </c>
      <c r="C192" s="7">
        <v>11</v>
      </c>
      <c r="D192" s="7" t="s">
        <v>66</v>
      </c>
      <c r="E192" s="7" t="s">
        <v>29</v>
      </c>
      <c r="F192" s="15" t="b">
        <f>FALSE()</f>
        <v>0</v>
      </c>
      <c r="G192" s="7" t="s">
        <v>68</v>
      </c>
      <c r="H192" s="7" t="str">
        <f t="shared" si="2"/>
        <v>llama|with_guideline|11</v>
      </c>
    </row>
    <row r="193" spans="1:8" x14ac:dyDescent="0.2">
      <c r="A193" s="7" t="s">
        <v>31</v>
      </c>
      <c r="B193" s="7" t="s">
        <v>27</v>
      </c>
      <c r="C193" s="7">
        <v>12</v>
      </c>
      <c r="D193" s="7" t="s">
        <v>69</v>
      </c>
      <c r="E193" s="7" t="s">
        <v>29</v>
      </c>
      <c r="F193" s="15" t="b">
        <f>FALSE()</f>
        <v>0</v>
      </c>
      <c r="G193" s="7" t="s">
        <v>70</v>
      </c>
      <c r="H193" s="7" t="str">
        <f t="shared" si="2"/>
        <v>llama|with_guideline|12</v>
      </c>
    </row>
    <row r="194" spans="1:8" x14ac:dyDescent="0.2">
      <c r="A194" s="7" t="s">
        <v>31</v>
      </c>
      <c r="B194" s="7" t="s">
        <v>27</v>
      </c>
      <c r="C194" s="7">
        <v>13</v>
      </c>
      <c r="D194" s="7" t="s">
        <v>66</v>
      </c>
      <c r="E194" s="7" t="s">
        <v>29</v>
      </c>
      <c r="F194" s="15" t="b">
        <f>FALSE()</f>
        <v>0</v>
      </c>
      <c r="G194" s="7" t="s">
        <v>71</v>
      </c>
      <c r="H194" s="7" t="str">
        <f t="shared" ref="H194:H217" si="3">A194&amp;"|"&amp;B194&amp;"|"&amp;C194</f>
        <v>llama|with_guideline|13</v>
      </c>
    </row>
    <row r="195" spans="1:8" x14ac:dyDescent="0.2">
      <c r="A195" s="7" t="s">
        <v>31</v>
      </c>
      <c r="B195" s="7" t="s">
        <v>27</v>
      </c>
      <c r="C195" s="7">
        <v>14</v>
      </c>
      <c r="D195" s="7" t="s">
        <v>69</v>
      </c>
      <c r="E195" s="7" t="s">
        <v>29</v>
      </c>
      <c r="F195" s="15" t="b">
        <f>FALSE()</f>
        <v>0</v>
      </c>
      <c r="G195" s="7" t="s">
        <v>72</v>
      </c>
      <c r="H195" s="7" t="str">
        <f t="shared" si="3"/>
        <v>llama|with_guideline|14</v>
      </c>
    </row>
    <row r="196" spans="1:8" x14ac:dyDescent="0.2">
      <c r="A196" s="7" t="s">
        <v>31</v>
      </c>
      <c r="B196" s="7" t="s">
        <v>27</v>
      </c>
      <c r="C196" s="7">
        <v>15</v>
      </c>
      <c r="D196" s="7" t="s">
        <v>66</v>
      </c>
      <c r="E196" s="7" t="s">
        <v>29</v>
      </c>
      <c r="F196" s="15" t="b">
        <f>FALSE()</f>
        <v>0</v>
      </c>
      <c r="G196" s="7" t="s">
        <v>73</v>
      </c>
      <c r="H196" s="7" t="str">
        <f t="shared" si="3"/>
        <v>llama|with_guideline|15</v>
      </c>
    </row>
    <row r="197" spans="1:8" x14ac:dyDescent="0.2">
      <c r="A197" s="7" t="s">
        <v>31</v>
      </c>
      <c r="B197" s="7" t="s">
        <v>27</v>
      </c>
      <c r="C197" s="7">
        <v>16</v>
      </c>
      <c r="D197" s="7" t="s">
        <v>69</v>
      </c>
      <c r="E197" s="7" t="s">
        <v>29</v>
      </c>
      <c r="F197" s="15" t="b">
        <f>FALSE()</f>
        <v>0</v>
      </c>
      <c r="G197" s="7" t="s">
        <v>74</v>
      </c>
      <c r="H197" s="7" t="str">
        <f t="shared" si="3"/>
        <v>llama|with_guideline|16</v>
      </c>
    </row>
    <row r="198" spans="1:8" x14ac:dyDescent="0.2">
      <c r="A198" s="7" t="s">
        <v>31</v>
      </c>
      <c r="B198" s="7" t="s">
        <v>27</v>
      </c>
      <c r="C198" s="7">
        <v>17</v>
      </c>
      <c r="D198" s="7" t="s">
        <v>66</v>
      </c>
      <c r="E198" s="7" t="s">
        <v>29</v>
      </c>
      <c r="F198" s="15" t="b">
        <f>FALSE()</f>
        <v>0</v>
      </c>
      <c r="G198" s="7" t="s">
        <v>75</v>
      </c>
      <c r="H198" s="7" t="str">
        <f t="shared" si="3"/>
        <v>llama|with_guideline|17</v>
      </c>
    </row>
    <row r="199" spans="1:8" x14ac:dyDescent="0.2">
      <c r="A199" s="7" t="s">
        <v>31</v>
      </c>
      <c r="B199" s="7" t="s">
        <v>27</v>
      </c>
      <c r="C199" s="7">
        <v>18</v>
      </c>
      <c r="D199" s="7" t="s">
        <v>69</v>
      </c>
      <c r="E199" s="7" t="s">
        <v>29</v>
      </c>
      <c r="F199" s="15" t="b">
        <f>FALSE()</f>
        <v>0</v>
      </c>
      <c r="G199" s="7" t="s">
        <v>76</v>
      </c>
      <c r="H199" s="7" t="str">
        <f t="shared" si="3"/>
        <v>llama|with_guideline|18</v>
      </c>
    </row>
    <row r="200" spans="1:8" x14ac:dyDescent="0.2">
      <c r="A200" s="7" t="s">
        <v>31</v>
      </c>
      <c r="B200" s="7" t="s">
        <v>27</v>
      </c>
      <c r="C200" s="7">
        <v>19</v>
      </c>
      <c r="D200" s="7" t="s">
        <v>66</v>
      </c>
      <c r="E200" s="7" t="s">
        <v>29</v>
      </c>
      <c r="F200" s="15" t="b">
        <f>FALSE()</f>
        <v>0</v>
      </c>
      <c r="G200" s="7" t="s">
        <v>77</v>
      </c>
      <c r="H200" s="7" t="str">
        <f t="shared" si="3"/>
        <v>llama|with_guideline|19</v>
      </c>
    </row>
    <row r="201" spans="1:8" x14ac:dyDescent="0.2">
      <c r="A201" s="7" t="s">
        <v>31</v>
      </c>
      <c r="B201" s="7" t="s">
        <v>27</v>
      </c>
      <c r="C201" s="7">
        <v>20</v>
      </c>
      <c r="D201" s="7" t="s">
        <v>69</v>
      </c>
      <c r="E201" s="7" t="s">
        <v>29</v>
      </c>
      <c r="F201" s="15" t="b">
        <f>FALSE()</f>
        <v>0</v>
      </c>
      <c r="G201" s="7" t="s">
        <v>78</v>
      </c>
      <c r="H201" s="7" t="str">
        <f t="shared" si="3"/>
        <v>llama|with_guideline|20</v>
      </c>
    </row>
    <row r="202" spans="1:8" x14ac:dyDescent="0.2">
      <c r="A202" s="7" t="s">
        <v>31</v>
      </c>
      <c r="B202" s="7" t="s">
        <v>27</v>
      </c>
      <c r="C202" s="7">
        <v>21</v>
      </c>
      <c r="D202" s="7" t="s">
        <v>69</v>
      </c>
      <c r="E202" s="7" t="s">
        <v>29</v>
      </c>
      <c r="F202" s="15" t="b">
        <f>FALSE()</f>
        <v>0</v>
      </c>
      <c r="G202" s="7" t="s">
        <v>79</v>
      </c>
      <c r="H202" s="7" t="str">
        <f t="shared" si="3"/>
        <v>llama|with_guideline|21</v>
      </c>
    </row>
    <row r="203" spans="1:8" x14ac:dyDescent="0.2">
      <c r="A203" s="7" t="s">
        <v>31</v>
      </c>
      <c r="B203" s="7" t="s">
        <v>27</v>
      </c>
      <c r="C203" s="7">
        <v>22</v>
      </c>
      <c r="D203" s="7" t="s">
        <v>66</v>
      </c>
      <c r="E203" s="7" t="s">
        <v>29</v>
      </c>
      <c r="F203" s="15" t="b">
        <f>FALSE()</f>
        <v>0</v>
      </c>
      <c r="G203" s="7" t="s">
        <v>80</v>
      </c>
      <c r="H203" s="7" t="str">
        <f t="shared" si="3"/>
        <v>llama|with_guideline|22</v>
      </c>
    </row>
    <row r="204" spans="1:8" x14ac:dyDescent="0.2">
      <c r="A204" s="7" t="s">
        <v>31</v>
      </c>
      <c r="B204" s="7" t="s">
        <v>27</v>
      </c>
      <c r="C204" s="7">
        <v>31</v>
      </c>
      <c r="D204" s="7" t="s">
        <v>69</v>
      </c>
      <c r="E204" s="7" t="s">
        <v>29</v>
      </c>
      <c r="F204" s="15" t="b">
        <f>FALSE()</f>
        <v>0</v>
      </c>
      <c r="G204" s="7" t="s">
        <v>81</v>
      </c>
      <c r="H204" s="7" t="str">
        <f t="shared" si="3"/>
        <v>llama|with_guideline|31</v>
      </c>
    </row>
    <row r="205" spans="1:8" x14ac:dyDescent="0.2">
      <c r="A205" s="7" t="s">
        <v>31</v>
      </c>
      <c r="B205" s="7" t="s">
        <v>27</v>
      </c>
      <c r="C205" s="7">
        <v>32</v>
      </c>
      <c r="D205" s="7" t="s">
        <v>82</v>
      </c>
      <c r="E205" s="7" t="s">
        <v>29</v>
      </c>
      <c r="F205" s="15" t="b">
        <f>FALSE()</f>
        <v>0</v>
      </c>
      <c r="G205" s="7" t="s">
        <v>83</v>
      </c>
      <c r="H205" s="7" t="str">
        <f t="shared" si="3"/>
        <v>llama|with_guideline|32</v>
      </c>
    </row>
    <row r="206" spans="1:8" x14ac:dyDescent="0.2">
      <c r="A206" s="7" t="s">
        <v>31</v>
      </c>
      <c r="B206" s="7" t="s">
        <v>27</v>
      </c>
      <c r="C206" s="7">
        <v>41</v>
      </c>
      <c r="D206" s="7" t="s">
        <v>82</v>
      </c>
      <c r="E206" s="7" t="s">
        <v>29</v>
      </c>
      <c r="F206" s="15" t="b">
        <f>FALSE()</f>
        <v>0</v>
      </c>
      <c r="G206" s="7" t="s">
        <v>84</v>
      </c>
      <c r="H206" s="7" t="str">
        <f t="shared" si="3"/>
        <v>llama|with_guideline|41</v>
      </c>
    </row>
    <row r="207" spans="1:8" x14ac:dyDescent="0.2">
      <c r="A207" s="7" t="s">
        <v>31</v>
      </c>
      <c r="B207" s="7" t="s">
        <v>27</v>
      </c>
      <c r="C207" s="7">
        <v>42</v>
      </c>
      <c r="D207" s="7" t="s">
        <v>82</v>
      </c>
      <c r="E207" s="7" t="s">
        <v>29</v>
      </c>
      <c r="F207" s="15" t="b">
        <f>FALSE()</f>
        <v>0</v>
      </c>
      <c r="G207" s="7" t="s">
        <v>85</v>
      </c>
      <c r="H207" s="7" t="str">
        <f t="shared" si="3"/>
        <v>llama|with_guideline|42</v>
      </c>
    </row>
    <row r="208" spans="1:8" x14ac:dyDescent="0.2">
      <c r="A208" s="7" t="s">
        <v>31</v>
      </c>
      <c r="B208" s="7" t="s">
        <v>27</v>
      </c>
      <c r="C208" s="7">
        <v>51</v>
      </c>
      <c r="D208" s="7" t="s">
        <v>69</v>
      </c>
      <c r="E208" s="7" t="s">
        <v>29</v>
      </c>
      <c r="F208" s="15" t="b">
        <f>FALSE()</f>
        <v>0</v>
      </c>
      <c r="G208" s="7" t="s">
        <v>86</v>
      </c>
      <c r="H208" s="7" t="str">
        <f t="shared" si="3"/>
        <v>llama|with_guideline|51</v>
      </c>
    </row>
    <row r="209" spans="1:8" x14ac:dyDescent="0.2">
      <c r="A209" s="7" t="s">
        <v>31</v>
      </c>
      <c r="B209" s="7" t="s">
        <v>27</v>
      </c>
      <c r="C209" s="7">
        <v>52</v>
      </c>
      <c r="D209" s="7" t="s">
        <v>69</v>
      </c>
      <c r="E209" s="7" t="s">
        <v>29</v>
      </c>
      <c r="F209" s="15" t="b">
        <f>FALSE()</f>
        <v>0</v>
      </c>
      <c r="G209" s="7" t="s">
        <v>87</v>
      </c>
      <c r="H209" s="7" t="str">
        <f t="shared" si="3"/>
        <v>llama|with_guideline|52</v>
      </c>
    </row>
    <row r="210" spans="1:8" x14ac:dyDescent="0.2">
      <c r="A210" s="7" t="s">
        <v>31</v>
      </c>
      <c r="B210" s="7" t="s">
        <v>27</v>
      </c>
      <c r="C210" s="7">
        <v>61</v>
      </c>
      <c r="D210" s="7" t="s">
        <v>66</v>
      </c>
      <c r="E210" s="7" t="s">
        <v>29</v>
      </c>
      <c r="F210" s="15" t="b">
        <f>FALSE()</f>
        <v>0</v>
      </c>
      <c r="G210" s="7" t="s">
        <v>75</v>
      </c>
      <c r="H210" s="7" t="str">
        <f t="shared" si="3"/>
        <v>llama|with_guideline|61</v>
      </c>
    </row>
    <row r="211" spans="1:8" x14ac:dyDescent="0.2">
      <c r="A211" s="7" t="s">
        <v>31</v>
      </c>
      <c r="B211" s="7" t="s">
        <v>27</v>
      </c>
      <c r="C211" s="7">
        <v>62</v>
      </c>
      <c r="D211" s="7" t="s">
        <v>69</v>
      </c>
      <c r="E211" s="7" t="s">
        <v>29</v>
      </c>
      <c r="F211" s="15" t="b">
        <f>FALSE()</f>
        <v>0</v>
      </c>
      <c r="G211" s="7" t="s">
        <v>76</v>
      </c>
      <c r="H211" s="7" t="str">
        <f t="shared" si="3"/>
        <v>llama|with_guideline|62</v>
      </c>
    </row>
    <row r="212" spans="1:8" x14ac:dyDescent="0.2">
      <c r="A212" s="7" t="s">
        <v>31</v>
      </c>
      <c r="B212" s="7" t="s">
        <v>27</v>
      </c>
      <c r="C212" s="7">
        <v>63</v>
      </c>
      <c r="D212" s="7" t="s">
        <v>69</v>
      </c>
      <c r="E212" s="7" t="s">
        <v>29</v>
      </c>
      <c r="F212" s="15" t="b">
        <f>FALSE()</f>
        <v>0</v>
      </c>
      <c r="G212" s="7" t="s">
        <v>88</v>
      </c>
      <c r="H212" s="7" t="str">
        <f t="shared" si="3"/>
        <v>llama|with_guideline|63</v>
      </c>
    </row>
    <row r="213" spans="1:8" x14ac:dyDescent="0.2">
      <c r="A213" s="7" t="s">
        <v>31</v>
      </c>
      <c r="B213" s="7" t="s">
        <v>27</v>
      </c>
      <c r="C213" s="7">
        <v>64</v>
      </c>
      <c r="D213" s="7" t="s">
        <v>66</v>
      </c>
      <c r="E213" s="7" t="s">
        <v>29</v>
      </c>
      <c r="F213" s="15" t="b">
        <f>FALSE()</f>
        <v>0</v>
      </c>
      <c r="G213" s="7" t="s">
        <v>77</v>
      </c>
      <c r="H213" s="7" t="str">
        <f t="shared" si="3"/>
        <v>llama|with_guideline|64</v>
      </c>
    </row>
    <row r="214" spans="1:8" x14ac:dyDescent="0.2">
      <c r="A214" s="7" t="s">
        <v>31</v>
      </c>
      <c r="B214" s="7" t="s">
        <v>27</v>
      </c>
      <c r="C214" s="7">
        <v>65</v>
      </c>
      <c r="D214" s="7" t="s">
        <v>69</v>
      </c>
      <c r="E214" s="7" t="s">
        <v>29</v>
      </c>
      <c r="F214" s="15" t="b">
        <f>FALSE()</f>
        <v>0</v>
      </c>
      <c r="G214" s="7" t="s">
        <v>78</v>
      </c>
      <c r="H214" s="7" t="str">
        <f t="shared" si="3"/>
        <v>llama|with_guideline|65</v>
      </c>
    </row>
    <row r="215" spans="1:8" x14ac:dyDescent="0.2">
      <c r="A215" s="7" t="s">
        <v>31</v>
      </c>
      <c r="B215" s="7" t="s">
        <v>27</v>
      </c>
      <c r="C215" s="7">
        <v>66</v>
      </c>
      <c r="D215" s="7" t="s">
        <v>66</v>
      </c>
      <c r="E215" s="7" t="s">
        <v>29</v>
      </c>
      <c r="F215" s="15" t="b">
        <f>FALSE()</f>
        <v>0</v>
      </c>
      <c r="G215" s="7" t="s">
        <v>89</v>
      </c>
      <c r="H215" s="7" t="str">
        <f t="shared" si="3"/>
        <v>llama|with_guideline|66</v>
      </c>
    </row>
    <row r="216" spans="1:8" x14ac:dyDescent="0.2">
      <c r="A216" s="7" t="s">
        <v>31</v>
      </c>
      <c r="B216" s="7" t="s">
        <v>27</v>
      </c>
      <c r="C216" s="7">
        <v>67</v>
      </c>
      <c r="D216" s="7" t="s">
        <v>69</v>
      </c>
      <c r="E216" s="7" t="s">
        <v>29</v>
      </c>
      <c r="F216" s="15" t="b">
        <f>FALSE()</f>
        <v>0</v>
      </c>
      <c r="G216" s="7" t="s">
        <v>90</v>
      </c>
      <c r="H216" s="7" t="str">
        <f t="shared" si="3"/>
        <v>llama|with_guideline|67</v>
      </c>
    </row>
    <row r="217" spans="1:8" x14ac:dyDescent="0.2">
      <c r="A217" s="7" t="s">
        <v>31</v>
      </c>
      <c r="B217" s="7" t="s">
        <v>27</v>
      </c>
      <c r="C217" s="7">
        <v>68</v>
      </c>
      <c r="D217" s="7" t="s">
        <v>66</v>
      </c>
      <c r="E217" s="7" t="s">
        <v>29</v>
      </c>
      <c r="F217" s="15" t="b">
        <f>FALSE()</f>
        <v>0</v>
      </c>
      <c r="G217" s="7" t="s">
        <v>91</v>
      </c>
      <c r="H217" s="7" t="str">
        <f t="shared" si="3"/>
        <v>llama|with_guideline|68</v>
      </c>
    </row>
    <row r="220" spans="1:8" x14ac:dyDescent="0.2">
      <c r="A220" s="1" t="s">
        <v>0</v>
      </c>
      <c r="B220" s="1" t="s">
        <v>1</v>
      </c>
      <c r="C220" t="s">
        <v>5</v>
      </c>
      <c r="D220" s="7" t="s">
        <v>32</v>
      </c>
      <c r="E220" s="7" t="s">
        <v>43</v>
      </c>
      <c r="F220" t="s">
        <v>33</v>
      </c>
    </row>
    <row r="221" spans="1:8" x14ac:dyDescent="0.2">
      <c r="A221" s="2" t="s">
        <v>8</v>
      </c>
      <c r="B221" s="2" t="s">
        <v>9</v>
      </c>
      <c r="C221">
        <f>COUNTIFS(A2:A217,"gpt",B2:B217,"no_guideline",F2:F217,TRUE)</f>
        <v>17</v>
      </c>
      <c r="D221">
        <v>27</v>
      </c>
      <c r="E221" s="8">
        <f>C221/D221</f>
        <v>0.62962962962962965</v>
      </c>
      <c r="F221">
        <f>COUNTIFS(A98:A217,"gpt",B98:B217,"no_guideline",E98:E217,"PARSE_ERROR")</f>
        <v>0</v>
      </c>
    </row>
    <row r="222" spans="1:8" x14ac:dyDescent="0.2">
      <c r="A222" s="2" t="s">
        <v>8</v>
      </c>
      <c r="B222" s="2" t="s">
        <v>27</v>
      </c>
      <c r="C222">
        <f>COUNTIFS(A2:A217,"gpt",B2:B217,"with_guideline",F2:F217,TRUE)</f>
        <v>21</v>
      </c>
      <c r="D222">
        <v>27</v>
      </c>
      <c r="E222" s="8">
        <f t="shared" ref="E222:E228" si="4">C222/D222</f>
        <v>0.77777777777777779</v>
      </c>
      <c r="F222">
        <f>COUNTIFS(A98:A217,"gpt",B98:B217,"with_guideline",E98:E217,"PARSE_ERROR")</f>
        <v>0</v>
      </c>
    </row>
    <row r="223" spans="1:8" x14ac:dyDescent="0.2">
      <c r="A223" s="2" t="s">
        <v>28</v>
      </c>
      <c r="B223" s="2" t="s">
        <v>9</v>
      </c>
      <c r="C223">
        <f>COUNTIFS(A2:A217,"claude",B2:B217,"no_guideline",F2:F217,TRUE)</f>
        <v>0</v>
      </c>
      <c r="D223">
        <v>27</v>
      </c>
      <c r="E223" s="8">
        <f t="shared" si="4"/>
        <v>0</v>
      </c>
      <c r="F223">
        <f>COUNTIFS(A98:A217,"claude",B98:B217,"no_guideline",E98:E217,"PARSE_ERROR")</f>
        <v>0</v>
      </c>
    </row>
    <row r="224" spans="1:8" x14ac:dyDescent="0.2">
      <c r="A224" s="2" t="s">
        <v>28</v>
      </c>
      <c r="B224" s="2" t="s">
        <v>27</v>
      </c>
      <c r="C224">
        <f>COUNTIFS(A2:A217,"claude",B2:B217,"with_guideline",F2:F217,TRUE)</f>
        <v>0</v>
      </c>
      <c r="D224">
        <v>27</v>
      </c>
      <c r="E224" s="8">
        <f t="shared" si="4"/>
        <v>0</v>
      </c>
      <c r="F224">
        <f>COUNTIFS(A98:A217,"claude",B98:B217,"with_guideline",E98:E217,"PARSE_ERROR")</f>
        <v>12</v>
      </c>
    </row>
    <row r="225" spans="1:8" x14ac:dyDescent="0.2">
      <c r="A225" s="2" t="s">
        <v>30</v>
      </c>
      <c r="B225" s="2" t="s">
        <v>9</v>
      </c>
      <c r="C225">
        <f>COUNTIFS(A2:A217,"gemini",B2:B217,"no_guideline",F2:F217,TRUE)</f>
        <v>15</v>
      </c>
      <c r="D225">
        <v>27</v>
      </c>
      <c r="E225" s="8">
        <f t="shared" si="4"/>
        <v>0.55555555555555558</v>
      </c>
      <c r="F225">
        <f>COUNTIFS(A98:A217,"gemini",B98:B217,"no_guideline",E98:E217,"PARSE_ERROR")</f>
        <v>0</v>
      </c>
    </row>
    <row r="226" spans="1:8" x14ac:dyDescent="0.2">
      <c r="A226" s="2" t="s">
        <v>30</v>
      </c>
      <c r="B226" s="2" t="s">
        <v>27</v>
      </c>
      <c r="C226">
        <f>COUNTIFS(A2:A217,"gemini",B2:B217,"with_guideline",F2:F217,TRUE)</f>
        <v>24</v>
      </c>
      <c r="D226">
        <v>27</v>
      </c>
      <c r="E226" s="8">
        <f t="shared" si="4"/>
        <v>0.88888888888888884</v>
      </c>
      <c r="F226">
        <f>COUNTIFS(A98:A217,"gemini",B98:B217,"with_guideline",E98:E217,"PARSE_ERROR")</f>
        <v>0</v>
      </c>
    </row>
    <row r="227" spans="1:8" x14ac:dyDescent="0.2">
      <c r="A227" s="2" t="s">
        <v>31</v>
      </c>
      <c r="B227" s="2" t="s">
        <v>9</v>
      </c>
      <c r="C227">
        <f>COUNTIFS(A2:A217,"llama",B2:B217,"no_guideline",F2:F217,TRUE)</f>
        <v>0</v>
      </c>
      <c r="D227">
        <v>27</v>
      </c>
      <c r="E227" s="8">
        <f t="shared" si="4"/>
        <v>0</v>
      </c>
      <c r="F227">
        <f>COUNTIFS(A98:A217,"llama",B98:B217,"no_guideline",E98:E217,"PARSE_ERROR")</f>
        <v>27</v>
      </c>
    </row>
    <row r="228" spans="1:8" x14ac:dyDescent="0.2">
      <c r="A228" s="2" t="s">
        <v>31</v>
      </c>
      <c r="B228" s="2" t="s">
        <v>27</v>
      </c>
      <c r="C228">
        <f>COUNTIFS(A2:A217,"llama",B2:B217,"with_guideline",F2:F217,TRUE)</f>
        <v>0</v>
      </c>
      <c r="D228">
        <v>27</v>
      </c>
      <c r="E228" s="8">
        <f t="shared" si="4"/>
        <v>0</v>
      </c>
      <c r="F228">
        <f>COUNTIFS(A98:A217,"llama",B98:B217,"with_guideline",E98:E217,"PARSE_ERROR")</f>
        <v>27</v>
      </c>
    </row>
    <row r="231" spans="1:8" x14ac:dyDescent="0.2">
      <c r="A231" s="12" t="s">
        <v>44</v>
      </c>
    </row>
    <row r="232" spans="1:8" x14ac:dyDescent="0.2">
      <c r="A232" s="1" t="s">
        <v>0</v>
      </c>
      <c r="B232" s="1" t="s">
        <v>34</v>
      </c>
      <c r="C232" s="1" t="s">
        <v>35</v>
      </c>
      <c r="D232" s="1" t="s">
        <v>36</v>
      </c>
    </row>
    <row r="233" spans="1:8" x14ac:dyDescent="0.2">
      <c r="A233" s="2" t="s">
        <v>8</v>
      </c>
      <c r="B233" s="8">
        <f>E221</f>
        <v>0.62962962962962965</v>
      </c>
      <c r="C233" s="5">
        <f>E222</f>
        <v>0.77777777777777779</v>
      </c>
      <c r="D233" s="6">
        <f>IF(OR(B233="N/A",C233="N/A"),"N/A",C233-B233)</f>
        <v>0.14814814814814814</v>
      </c>
    </row>
    <row r="234" spans="1:8" x14ac:dyDescent="0.2">
      <c r="A234" s="2" t="s">
        <v>28</v>
      </c>
      <c r="B234" s="5">
        <f>E223</f>
        <v>0</v>
      </c>
      <c r="C234" s="5">
        <f>E224</f>
        <v>0</v>
      </c>
      <c r="D234" s="6">
        <f>IF(OR(B234="N/A",C234="N/A"),"N/A",C234-B234)</f>
        <v>0</v>
      </c>
    </row>
    <row r="235" spans="1:8" x14ac:dyDescent="0.2">
      <c r="A235" s="2" t="s">
        <v>30</v>
      </c>
      <c r="B235" s="5">
        <f>E225</f>
        <v>0.55555555555555558</v>
      </c>
      <c r="C235" s="5">
        <f>E226</f>
        <v>0.88888888888888884</v>
      </c>
      <c r="D235" s="6">
        <f>IF(OR(B235="N/A",C235="N/A"),"N/A",C235-B235)</f>
        <v>0.33333333333333326</v>
      </c>
    </row>
    <row r="236" spans="1:8" x14ac:dyDescent="0.2">
      <c r="A236" s="2" t="s">
        <v>31</v>
      </c>
      <c r="B236" s="13">
        <f>E227</f>
        <v>0</v>
      </c>
      <c r="C236" s="5">
        <f>E228</f>
        <v>0</v>
      </c>
      <c r="D236" s="6">
        <f>IF(OR(B236="N/A",C236="N/A"),"N/A",C236-B236)</f>
        <v>0</v>
      </c>
    </row>
    <row r="239" spans="1:8" x14ac:dyDescent="0.2">
      <c r="A239" s="10" t="s">
        <v>2</v>
      </c>
      <c r="B239" s="10" t="s">
        <v>3</v>
      </c>
      <c r="C239" s="10" t="s">
        <v>37</v>
      </c>
      <c r="D239" s="10" t="s">
        <v>38</v>
      </c>
      <c r="E239" s="10" t="s">
        <v>39</v>
      </c>
      <c r="F239" s="10" t="s">
        <v>40</v>
      </c>
      <c r="G239" s="10" t="s">
        <v>41</v>
      </c>
      <c r="H239" s="10" t="s">
        <v>42</v>
      </c>
    </row>
    <row r="240" spans="1:8" x14ac:dyDescent="0.2">
      <c r="A240" s="7">
        <v>1</v>
      </c>
      <c r="B240" s="7" t="str">
        <f>IFERROR(INDEX([2]Details!D:D,MATCH("gpt|with_guideline|1",[2]Details!H:H,0)),"N/A")</f>
        <v>Group1</v>
      </c>
      <c r="C240" s="7" t="str">
        <f>IFERROR(INDEX([2]Details!E:E,MATCH("gpt|with_guideline|1",[2]Details!H:H,0)),"N/A")</f>
        <v>Group1</v>
      </c>
      <c r="D240" s="7" t="str">
        <f>IFERROR(INDEX([2]Details!E:E,MATCH("claude|with_guideline|1",[2]Details!H:H,0)),"N/A")</f>
        <v>PARSE_ERROR</v>
      </c>
      <c r="E240" s="7" t="str">
        <f>IFERROR(INDEX([2]Details!E:E,MATCH("gemini|with_guideline|1",[2]Details!H:H,0)),"N/A")</f>
        <v>Group1</v>
      </c>
      <c r="F240" s="7" t="str">
        <f>IFERROR(INDEX([2]Details!E:E,MATCH("llama|with_guideline|1",[2]Details!H:H,0)),"N/A")</f>
        <v>PARSE_ERROR</v>
      </c>
      <c r="G240" s="7">
        <f t="shared" ref="G240:G266" si="5">SUMPRODUCT(((C240:F240)&lt;&gt;B240)*1)</f>
        <v>2</v>
      </c>
      <c r="H240" s="7" t="b">
        <f t="shared" ref="H240:H266" si="6">IF(SUMPRODUCT(1/COUNTIF(C240:F240,C240:F240))=1,TRUE(),FALSE())</f>
        <v>0</v>
      </c>
    </row>
    <row r="241" spans="1:8" x14ac:dyDescent="0.2">
      <c r="A241" s="7">
        <v>11</v>
      </c>
      <c r="B241" s="7" t="str">
        <f>IFERROR(INDEX([2]Details!D:D,MATCH("gpt|with_guideline|11",[2]Details!H:H,0)),"N/A")</f>
        <v>Group1</v>
      </c>
      <c r="C241" s="7" t="str">
        <f>IFERROR(INDEX([2]Details!E:E,MATCH("gpt|with_guideline|11",[2]Details!H:H,0)),"N/A")</f>
        <v>Group1</v>
      </c>
      <c r="D241" s="7" t="str">
        <f>IFERROR(INDEX([2]Details!E:E,MATCH("claude|with_guideline|11",[2]Details!H:H,0)),"N/A")</f>
        <v>PARSE_ERROR</v>
      </c>
      <c r="E241" s="7" t="str">
        <f>IFERROR(INDEX([2]Details!E:E,MATCH("gemini|with_guideline|11",[2]Details!H:H,0)),"N/A")</f>
        <v>Group1</v>
      </c>
      <c r="F241" s="7" t="str">
        <f>IFERROR(INDEX([2]Details!E:E,MATCH("llama|with_guideline|11",[2]Details!H:H,0)),"N/A")</f>
        <v>PARSE_ERROR</v>
      </c>
      <c r="G241" s="7">
        <f t="shared" si="5"/>
        <v>2</v>
      </c>
      <c r="H241" s="7" t="b">
        <f t="shared" si="6"/>
        <v>0</v>
      </c>
    </row>
    <row r="242" spans="1:8" x14ac:dyDescent="0.2">
      <c r="A242" s="7">
        <v>12</v>
      </c>
      <c r="B242" s="7" t="str">
        <f>IFERROR(INDEX([2]Details!D:D,MATCH("gpt|with_guideline|12",[2]Details!H:H,0)),"N/A")</f>
        <v>Group2</v>
      </c>
      <c r="C242" s="7" t="str">
        <f>IFERROR(INDEX([2]Details!E:E,MATCH("gpt|with_guideline|12",[2]Details!H:H,0)),"N/A")</f>
        <v>Group1</v>
      </c>
      <c r="D242" s="7" t="str">
        <f>IFERROR(INDEX([2]Details!E:E,MATCH("claude|with_guideline|12",[2]Details!H:H,0)),"N/A")</f>
        <v>PARSE_ERROR</v>
      </c>
      <c r="E242" s="7" t="str">
        <f>IFERROR(INDEX([2]Details!E:E,MATCH("gemini|with_guideline|12",[2]Details!H:H,0)),"N/A")</f>
        <v>Group2</v>
      </c>
      <c r="F242" s="7" t="str">
        <f>IFERROR(INDEX([2]Details!E:E,MATCH("llama|with_guideline|12",[2]Details!H:H,0)),"N/A")</f>
        <v>PARSE_ERROR</v>
      </c>
      <c r="G242" s="7">
        <f t="shared" si="5"/>
        <v>3</v>
      </c>
      <c r="H242" s="7" t="b">
        <f t="shared" si="6"/>
        <v>0</v>
      </c>
    </row>
    <row r="243" spans="1:8" x14ac:dyDescent="0.2">
      <c r="A243" s="7">
        <v>13</v>
      </c>
      <c r="B243" s="7" t="str">
        <f>IFERROR(INDEX([2]Details!D:D,MATCH("gpt|with_guideline|13",[2]Details!H:H,0)),"N/A")</f>
        <v>Group1</v>
      </c>
      <c r="C243" s="7" t="str">
        <f>IFERROR(INDEX([2]Details!E:E,MATCH("gpt|with_guideline|13",[2]Details!H:H,0)),"N/A")</f>
        <v>Group1</v>
      </c>
      <c r="D243" s="7" t="str">
        <f>IFERROR(INDEX([2]Details!E:E,MATCH("claude|with_guideline|13",[2]Details!H:H,0)),"N/A")</f>
        <v>PARSE_ERROR</v>
      </c>
      <c r="E243" s="7" t="str">
        <f>IFERROR(INDEX([2]Details!E:E,MATCH("gemini|with_guideline|13",[2]Details!H:H,0)),"N/A")</f>
        <v>Group1</v>
      </c>
      <c r="F243" s="7" t="str">
        <f>IFERROR(INDEX([2]Details!E:E,MATCH("llama|with_guideline|13",[2]Details!H:H,0)),"N/A")</f>
        <v>PARSE_ERROR</v>
      </c>
      <c r="G243" s="7">
        <f t="shared" si="5"/>
        <v>2</v>
      </c>
      <c r="H243" s="7" t="b">
        <f t="shared" si="6"/>
        <v>0</v>
      </c>
    </row>
    <row r="244" spans="1:8" x14ac:dyDescent="0.2">
      <c r="A244" s="7">
        <v>14</v>
      </c>
      <c r="B244" s="7" t="str">
        <f>IFERROR(INDEX([2]Details!D:D,MATCH("gpt|with_guideline|14",[2]Details!H:H,0)),"N/A")</f>
        <v>Group2</v>
      </c>
      <c r="C244" s="7" t="str">
        <f>IFERROR(INDEX([2]Details!E:E,MATCH("gpt|with_guideline|14",[2]Details!H:H,0)),"N/A")</f>
        <v>Group2</v>
      </c>
      <c r="D244" s="7" t="str">
        <f>IFERROR(INDEX([2]Details!E:E,MATCH("claude|with_guideline|14",[2]Details!H:H,0)),"N/A")</f>
        <v>PARSE_ERROR</v>
      </c>
      <c r="E244" s="7" t="str">
        <f>IFERROR(INDEX([2]Details!E:E,MATCH("gemini|with_guideline|14",[2]Details!H:H,0)),"N/A")</f>
        <v>Group2</v>
      </c>
      <c r="F244" s="7" t="str">
        <f>IFERROR(INDEX([2]Details!E:E,MATCH("llama|with_guideline|14",[2]Details!H:H,0)),"N/A")</f>
        <v>PARSE_ERROR</v>
      </c>
      <c r="G244" s="7">
        <f t="shared" si="5"/>
        <v>2</v>
      </c>
      <c r="H244" s="7" t="b">
        <f t="shared" si="6"/>
        <v>0</v>
      </c>
    </row>
    <row r="245" spans="1:8" x14ac:dyDescent="0.2">
      <c r="A245" s="7">
        <v>15</v>
      </c>
      <c r="B245" s="7" t="str">
        <f>IFERROR(INDEX([2]Details!D:D,MATCH("gpt|with_guideline|15",[2]Details!H:H,0)),"N/A")</f>
        <v>Group1</v>
      </c>
      <c r="C245" s="7" t="str">
        <f>IFERROR(INDEX([2]Details!E:E,MATCH("gpt|with_guideline|15",[2]Details!H:H,0)),"N/A")</f>
        <v>Group1</v>
      </c>
      <c r="D245" s="7" t="str">
        <f>IFERROR(INDEX([2]Details!E:E,MATCH("claude|with_guideline|15",[2]Details!H:H,0)),"N/A")</f>
        <v>PARSE_ERROR</v>
      </c>
      <c r="E245" s="7" t="str">
        <f>IFERROR(INDEX([2]Details!E:E,MATCH("gemini|with_guideline|15",[2]Details!H:H,0)),"N/A")</f>
        <v>Group1</v>
      </c>
      <c r="F245" s="7" t="str">
        <f>IFERROR(INDEX([2]Details!E:E,MATCH("llama|with_guideline|15",[2]Details!H:H,0)),"N/A")</f>
        <v>PARSE_ERROR</v>
      </c>
      <c r="G245" s="7">
        <f t="shared" si="5"/>
        <v>2</v>
      </c>
      <c r="H245" s="7" t="b">
        <f t="shared" si="6"/>
        <v>0</v>
      </c>
    </row>
    <row r="246" spans="1:8" x14ac:dyDescent="0.2">
      <c r="A246" s="7">
        <v>16</v>
      </c>
      <c r="B246" s="7" t="str">
        <f>IFERROR(INDEX([2]Details!D:D,MATCH("gpt|with_guideline|16",[2]Details!H:H,0)),"N/A")</f>
        <v>Group2</v>
      </c>
      <c r="C246" s="7" t="str">
        <f>IFERROR(INDEX([2]Details!E:E,MATCH("gpt|with_guideline|16",[2]Details!H:H,0)),"N/A")</f>
        <v>Group2</v>
      </c>
      <c r="D246" s="7" t="str">
        <f>IFERROR(INDEX([2]Details!E:E,MATCH("claude|with_guideline|16",[2]Details!H:H,0)),"N/A")</f>
        <v>PARSE_ERROR</v>
      </c>
      <c r="E246" s="7" t="str">
        <f>IFERROR(INDEX([2]Details!E:E,MATCH("gemini|with_guideline|16",[2]Details!H:H,0)),"N/A")</f>
        <v>Group2</v>
      </c>
      <c r="F246" s="7" t="str">
        <f>IFERROR(INDEX([2]Details!E:E,MATCH("llama|with_guideline|16",[2]Details!H:H,0)),"N/A")</f>
        <v>PARSE_ERROR</v>
      </c>
      <c r="G246" s="7">
        <f t="shared" si="5"/>
        <v>2</v>
      </c>
      <c r="H246" s="7" t="b">
        <f t="shared" si="6"/>
        <v>0</v>
      </c>
    </row>
    <row r="247" spans="1:8" x14ac:dyDescent="0.2">
      <c r="A247" s="7">
        <v>17</v>
      </c>
      <c r="B247" s="7" t="str">
        <f>IFERROR(INDEX([2]Details!D:D,MATCH("gpt|with_guideline|17",[2]Details!H:H,0)),"N/A")</f>
        <v>Group1</v>
      </c>
      <c r="C247" s="7" t="str">
        <f>IFERROR(INDEX([2]Details!E:E,MATCH("gpt|with_guideline|17",[2]Details!H:H,0)),"N/A")</f>
        <v>Group1</v>
      </c>
      <c r="D247" s="7" t="str">
        <f>IFERROR(INDEX([2]Details!E:E,MATCH("claude|with_guideline|17",[2]Details!H:H,0)),"N/A")</f>
        <v>PARSE_ERROR</v>
      </c>
      <c r="E247" s="7" t="str">
        <f>IFERROR(INDEX([2]Details!E:E,MATCH("gemini|with_guideline|17",[2]Details!H:H,0)),"N/A")</f>
        <v>Group1</v>
      </c>
      <c r="F247" s="7" t="str">
        <f>IFERROR(INDEX([2]Details!E:E,MATCH("llama|with_guideline|17",[2]Details!H:H,0)),"N/A")</f>
        <v>PARSE_ERROR</v>
      </c>
      <c r="G247" s="7">
        <f t="shared" si="5"/>
        <v>2</v>
      </c>
      <c r="H247" s="7" t="b">
        <f t="shared" si="6"/>
        <v>0</v>
      </c>
    </row>
    <row r="248" spans="1:8" x14ac:dyDescent="0.2">
      <c r="A248" s="7">
        <v>18</v>
      </c>
      <c r="B248" s="7" t="str">
        <f>IFERROR(INDEX([2]Details!D:D,MATCH("gpt|with_guideline|18",[2]Details!H:H,0)),"N/A")</f>
        <v>Group2</v>
      </c>
      <c r="C248" s="7" t="str">
        <f>IFERROR(INDEX([2]Details!E:E,MATCH("gpt|with_guideline|18",[2]Details!H:H,0)),"N/A")</f>
        <v>Group1</v>
      </c>
      <c r="D248" s="7" t="str">
        <f>IFERROR(INDEX([2]Details!E:E,MATCH("claude|with_guideline|18",[2]Details!H:H,0)),"N/A")</f>
        <v>PARSE_ERROR</v>
      </c>
      <c r="E248" s="7" t="str">
        <f>IFERROR(INDEX([2]Details!E:E,MATCH("gemini|with_guideline|18",[2]Details!H:H,0)),"N/A")</f>
        <v>Group1</v>
      </c>
      <c r="F248" s="7" t="str">
        <f>IFERROR(INDEX([2]Details!E:E,MATCH("llama|with_guideline|18",[2]Details!H:H,0)),"N/A")</f>
        <v>PARSE_ERROR</v>
      </c>
      <c r="G248" s="7">
        <f t="shared" si="5"/>
        <v>4</v>
      </c>
      <c r="H248" s="7" t="b">
        <f t="shared" si="6"/>
        <v>0</v>
      </c>
    </row>
    <row r="249" spans="1:8" x14ac:dyDescent="0.2">
      <c r="A249" s="7">
        <v>19</v>
      </c>
      <c r="B249" s="7" t="str">
        <f>IFERROR(INDEX([2]Details!D:D,MATCH("gpt|with_guideline|19",[2]Details!H:H,0)),"N/A")</f>
        <v>Group1</v>
      </c>
      <c r="C249" s="7" t="str">
        <f>IFERROR(INDEX([2]Details!E:E,MATCH("gpt|with_guideline|19",[2]Details!H:H,0)),"N/A")</f>
        <v>Group2</v>
      </c>
      <c r="D249" s="7" t="str">
        <f>IFERROR(INDEX([2]Details!E:E,MATCH("claude|with_guideline|19",[2]Details!H:H,0)),"N/A")</f>
        <v>PARSE_ERROR</v>
      </c>
      <c r="E249" s="7" t="str">
        <f>IFERROR(INDEX([2]Details!E:E,MATCH("gemini|with_guideline|19",[2]Details!H:H,0)),"N/A")</f>
        <v>Group1</v>
      </c>
      <c r="F249" s="7" t="str">
        <f>IFERROR(INDEX([2]Details!E:E,MATCH("llama|with_guideline|19",[2]Details!H:H,0)),"N/A")</f>
        <v>PARSE_ERROR</v>
      </c>
      <c r="G249" s="7">
        <f t="shared" si="5"/>
        <v>3</v>
      </c>
      <c r="H249" s="7" t="b">
        <f t="shared" si="6"/>
        <v>0</v>
      </c>
    </row>
    <row r="250" spans="1:8" x14ac:dyDescent="0.2">
      <c r="A250" s="7">
        <v>20</v>
      </c>
      <c r="B250" s="7" t="str">
        <f>IFERROR(INDEX([2]Details!D:D,MATCH("gpt|with_guideline|20",[2]Details!H:H,0)),"N/A")</f>
        <v>Group2</v>
      </c>
      <c r="C250" s="7" t="str">
        <f>IFERROR(INDEX([2]Details!E:E,MATCH("gpt|with_guideline|20",[2]Details!H:H,0)),"N/A")</f>
        <v>Group2</v>
      </c>
      <c r="D250" s="7" t="str">
        <f>IFERROR(INDEX([2]Details!E:E,MATCH("claude|with_guideline|20",[2]Details!H:H,0)),"N/A")</f>
        <v>PARSE_ERROR</v>
      </c>
      <c r="E250" s="7" t="str">
        <f>IFERROR(INDEX([2]Details!E:E,MATCH("gemini|with_guideline|20",[2]Details!H:H,0)),"N/A")</f>
        <v>Group2</v>
      </c>
      <c r="F250" s="7" t="str">
        <f>IFERROR(INDEX([2]Details!E:E,MATCH("llama|with_guideline|20",[2]Details!H:H,0)),"N/A")</f>
        <v>PARSE_ERROR</v>
      </c>
      <c r="G250" s="7">
        <f t="shared" si="5"/>
        <v>2</v>
      </c>
      <c r="H250" s="7" t="b">
        <f t="shared" si="6"/>
        <v>0</v>
      </c>
    </row>
    <row r="251" spans="1:8" x14ac:dyDescent="0.2">
      <c r="A251" s="7">
        <v>21</v>
      </c>
      <c r="B251" s="7" t="str">
        <f>IFERROR(INDEX([2]Details!D:D,MATCH("gpt|with_guideline|21",[2]Details!H:H,0)),"N/A")</f>
        <v>Group2</v>
      </c>
      <c r="C251" s="7" t="str">
        <f>IFERROR(INDEX([2]Details!E:E,MATCH("gpt|with_guideline|21",[2]Details!H:H,0)),"N/A")</f>
        <v>Group2</v>
      </c>
      <c r="D251" s="7" t="str">
        <f>IFERROR(INDEX([2]Details!E:E,MATCH("claude|with_guideline|21",[2]Details!H:H,0)),"N/A")</f>
        <v>PARSE_ERROR</v>
      </c>
      <c r="E251" s="7" t="str">
        <f>IFERROR(INDEX([2]Details!E:E,MATCH("gemini|with_guideline|21",[2]Details!H:H,0)),"N/A")</f>
        <v>Group3</v>
      </c>
      <c r="F251" s="7" t="str">
        <f>IFERROR(INDEX([2]Details!E:E,MATCH("llama|with_guideline|21",[2]Details!H:H,0)),"N/A")</f>
        <v>PARSE_ERROR</v>
      </c>
      <c r="G251" s="7">
        <f t="shared" si="5"/>
        <v>3</v>
      </c>
      <c r="H251" s="7" t="b">
        <f t="shared" si="6"/>
        <v>0</v>
      </c>
    </row>
    <row r="252" spans="1:8" x14ac:dyDescent="0.2">
      <c r="A252" s="7">
        <v>22</v>
      </c>
      <c r="B252" s="7" t="str">
        <f>IFERROR(INDEX([2]Details!D:D,MATCH("gpt|with_guideline|22",[2]Details!H:H,0)),"N/A")</f>
        <v>Group1</v>
      </c>
      <c r="C252" s="7" t="str">
        <f>IFERROR(INDEX([2]Details!E:E,MATCH("gpt|with_guideline|22",[2]Details!H:H,0)),"N/A")</f>
        <v>Group1</v>
      </c>
      <c r="D252" s="7" t="str">
        <f>IFERROR(INDEX([2]Details!E:E,MATCH("claude|with_guideline|22",[2]Details!H:H,0)),"N/A")</f>
        <v>PARSE_ERROR</v>
      </c>
      <c r="E252" s="7" t="str">
        <f>IFERROR(INDEX([2]Details!E:E,MATCH("gemini|with_guideline|22",[2]Details!H:H,0)),"N/A")</f>
        <v>Group1</v>
      </c>
      <c r="F252" s="7" t="str">
        <f>IFERROR(INDEX([2]Details!E:E,MATCH("llama|with_guideline|22",[2]Details!H:H,0)),"N/A")</f>
        <v>PARSE_ERROR</v>
      </c>
      <c r="G252" s="7">
        <f t="shared" si="5"/>
        <v>2</v>
      </c>
      <c r="H252" s="7" t="b">
        <f t="shared" si="6"/>
        <v>0</v>
      </c>
    </row>
    <row r="253" spans="1:8" x14ac:dyDescent="0.2">
      <c r="A253" s="7">
        <v>31</v>
      </c>
      <c r="B253" s="7" t="str">
        <f>IFERROR(INDEX([2]Details!D:D,MATCH("gpt|with_guideline|31",[2]Details!H:H,0)),"N/A")</f>
        <v>Group2</v>
      </c>
      <c r="C253" s="7" t="str">
        <f>IFERROR(INDEX([2]Details!E:E,MATCH("gpt|with_guideline|31",[2]Details!H:H,0)),"N/A")</f>
        <v>Group2</v>
      </c>
      <c r="D253" s="7" t="str">
        <f>IFERROR(INDEX([2]Details!E:E,MATCH("claude|with_guideline|31",[2]Details!H:H,0)),"N/A")</f>
        <v>PARSE_ERROR</v>
      </c>
      <c r="E253" s="7" t="str">
        <f>IFERROR(INDEX([2]Details!E:E,MATCH("gemini|with_guideline|31",[2]Details!H:H,0)),"N/A")</f>
        <v>Group2</v>
      </c>
      <c r="F253" s="7" t="str">
        <f>IFERROR(INDEX([2]Details!E:E,MATCH("llama|with_guideline|31",[2]Details!H:H,0)),"N/A")</f>
        <v>PARSE_ERROR</v>
      </c>
      <c r="G253" s="7">
        <f t="shared" si="5"/>
        <v>2</v>
      </c>
      <c r="H253" s="7" t="b">
        <f t="shared" si="6"/>
        <v>0</v>
      </c>
    </row>
    <row r="254" spans="1:8" x14ac:dyDescent="0.2">
      <c r="A254" s="7">
        <v>32</v>
      </c>
      <c r="B254" s="7" t="str">
        <f>IFERROR(INDEX([2]Details!D:D,MATCH("gpt|with_guideline|32",[2]Details!H:H,0)),"N/A")</f>
        <v>Group3</v>
      </c>
      <c r="C254" s="7" t="str">
        <f>IFERROR(INDEX([2]Details!E:E,MATCH("gpt|with_guideline|32",[2]Details!H:H,0)),"N/A")</f>
        <v>Group3</v>
      </c>
      <c r="D254" s="7" t="str">
        <f>IFERROR(INDEX([2]Details!E:E,MATCH("claude|with_guideline|32",[2]Details!H:H,0)),"N/A")</f>
        <v>PARSE_ERROR</v>
      </c>
      <c r="E254" s="7" t="str">
        <f>IFERROR(INDEX([2]Details!E:E,MATCH("gemini|with_guideline|32",[2]Details!H:H,0)),"N/A")</f>
        <v>Group3</v>
      </c>
      <c r="F254" s="7" t="str">
        <f>IFERROR(INDEX([2]Details!E:E,MATCH("llama|with_guideline|32",[2]Details!H:H,0)),"N/A")</f>
        <v>PARSE_ERROR</v>
      </c>
      <c r="G254" s="7">
        <f t="shared" si="5"/>
        <v>2</v>
      </c>
      <c r="H254" s="7" t="b">
        <f t="shared" si="6"/>
        <v>0</v>
      </c>
    </row>
    <row r="255" spans="1:8" x14ac:dyDescent="0.2">
      <c r="A255" s="7">
        <v>41</v>
      </c>
      <c r="B255" s="7" t="str">
        <f>IFERROR(INDEX([2]Details!D:D,MATCH("gpt|with_guideline|41",[2]Details!H:H,0)),"N/A")</f>
        <v>Group3</v>
      </c>
      <c r="C255" s="7" t="str">
        <f>IFERROR(INDEX([2]Details!E:E,MATCH("gpt|with_guideline|41",[2]Details!H:H,0)),"N/A")</f>
        <v>Group3</v>
      </c>
      <c r="D255" s="7" t="str">
        <f>IFERROR(INDEX([2]Details!E:E,MATCH("claude|with_guideline|41",[2]Details!H:H,0)),"N/A")</f>
        <v>PARSE_ERROR</v>
      </c>
      <c r="E255" s="7" t="str">
        <f>IFERROR(INDEX([2]Details!E:E,MATCH("gemini|with_guideline|41",[2]Details!H:H,0)),"N/A")</f>
        <v>Group3</v>
      </c>
      <c r="F255" s="7" t="str">
        <f>IFERROR(INDEX([2]Details!E:E,MATCH("llama|with_guideline|41",[2]Details!H:H,0)),"N/A")</f>
        <v>PARSE_ERROR</v>
      </c>
      <c r="G255" s="7">
        <f t="shared" si="5"/>
        <v>2</v>
      </c>
      <c r="H255" s="7" t="b">
        <f t="shared" si="6"/>
        <v>0</v>
      </c>
    </row>
    <row r="256" spans="1:8" x14ac:dyDescent="0.2">
      <c r="A256" s="7">
        <v>42</v>
      </c>
      <c r="B256" s="7" t="str">
        <f>IFERROR(INDEX([2]Details!D:D,MATCH("gpt|with_guideline|42",[2]Details!H:H,0)),"N/A")</f>
        <v>Group3</v>
      </c>
      <c r="C256" s="7" t="str">
        <f>IFERROR(INDEX([2]Details!E:E,MATCH("gpt|with_guideline|42",[2]Details!H:H,0)),"N/A")</f>
        <v>Group3</v>
      </c>
      <c r="D256" s="7" t="str">
        <f>IFERROR(INDEX([2]Details!E:E,MATCH("claude|with_guideline|42",[2]Details!H:H,0)),"N/A")</f>
        <v>PARSE_ERROR</v>
      </c>
      <c r="E256" s="7" t="str">
        <f>IFERROR(INDEX([2]Details!E:E,MATCH("gemini|with_guideline|42",[2]Details!H:H,0)),"N/A")</f>
        <v>Group3</v>
      </c>
      <c r="F256" s="7" t="str">
        <f>IFERROR(INDEX([2]Details!E:E,MATCH("llama|with_guideline|42",[2]Details!H:H,0)),"N/A")</f>
        <v>PARSE_ERROR</v>
      </c>
      <c r="G256" s="7">
        <f t="shared" si="5"/>
        <v>2</v>
      </c>
      <c r="H256" s="7" t="b">
        <f t="shared" si="6"/>
        <v>0</v>
      </c>
    </row>
    <row r="257" spans="1:8" x14ac:dyDescent="0.2">
      <c r="A257" s="7">
        <v>51</v>
      </c>
      <c r="B257" s="7" t="str">
        <f>IFERROR(INDEX([2]Details!D:D,MATCH("gpt|with_guideline|51",[2]Details!H:H,0)),"N/A")</f>
        <v>Group2</v>
      </c>
      <c r="C257" s="7" t="str">
        <f>IFERROR(INDEX([2]Details!E:E,MATCH("gpt|with_guideline|51",[2]Details!H:H,0)),"N/A")</f>
        <v>Group2</v>
      </c>
      <c r="D257" s="7" t="str">
        <f>IFERROR(INDEX([2]Details!E:E,MATCH("claude|with_guideline|51",[2]Details!H:H,0)),"N/A")</f>
        <v>PARSE_ERROR</v>
      </c>
      <c r="E257" s="7" t="str">
        <f>IFERROR(INDEX([2]Details!E:E,MATCH("gemini|with_guideline|51",[2]Details!H:H,0)),"N/A")</f>
        <v>Group2</v>
      </c>
      <c r="F257" s="7" t="str">
        <f>IFERROR(INDEX([2]Details!E:E,MATCH("llama|with_guideline|51",[2]Details!H:H,0)),"N/A")</f>
        <v>PARSE_ERROR</v>
      </c>
      <c r="G257" s="7">
        <f t="shared" si="5"/>
        <v>2</v>
      </c>
      <c r="H257" s="7" t="b">
        <f t="shared" si="6"/>
        <v>0</v>
      </c>
    </row>
    <row r="258" spans="1:8" x14ac:dyDescent="0.2">
      <c r="A258" s="7">
        <v>52</v>
      </c>
      <c r="B258" s="7" t="str">
        <f>IFERROR(INDEX([2]Details!D:D,MATCH("gpt|with_guideline|52",[2]Details!H:H,0)),"N/A")</f>
        <v>Group2</v>
      </c>
      <c r="C258" s="7" t="str">
        <f>IFERROR(INDEX([2]Details!E:E,MATCH("gpt|with_guideline|52",[2]Details!H:H,0)),"N/A")</f>
        <v>Group3</v>
      </c>
      <c r="D258" s="7" t="str">
        <f>IFERROR(INDEX([2]Details!E:E,MATCH("claude|with_guideline|52",[2]Details!H:H,0)),"N/A")</f>
        <v>PARSE_ERROR</v>
      </c>
      <c r="E258" s="7" t="str">
        <f>IFERROR(INDEX([2]Details!E:E,MATCH("gemini|with_guideline|52",[2]Details!H:H,0)),"N/A")</f>
        <v>Group2</v>
      </c>
      <c r="F258" s="7" t="str">
        <f>IFERROR(INDEX([2]Details!E:E,MATCH("llama|with_guideline|52",[2]Details!H:H,0)),"N/A")</f>
        <v>PARSE_ERROR</v>
      </c>
      <c r="G258" s="7">
        <f t="shared" si="5"/>
        <v>3</v>
      </c>
      <c r="H258" s="7" t="b">
        <f t="shared" si="6"/>
        <v>0</v>
      </c>
    </row>
    <row r="259" spans="1:8" x14ac:dyDescent="0.2">
      <c r="A259" s="7">
        <v>61</v>
      </c>
      <c r="B259" s="7" t="str">
        <f>IFERROR(INDEX([2]Details!D:D,MATCH("gpt|with_guideline|61",[2]Details!H:H,0)),"N/A")</f>
        <v>Group1</v>
      </c>
      <c r="C259" s="7" t="str">
        <f>IFERROR(INDEX([2]Details!E:E,MATCH("gpt|with_guideline|61",[2]Details!H:H,0)),"N/A")</f>
        <v>Group1</v>
      </c>
      <c r="D259" s="7" t="str">
        <f>IFERROR(INDEX([2]Details!E:E,MATCH("claude|with_guideline|61",[2]Details!H:H,0)),"N/A")</f>
        <v>PARSE_ERROR</v>
      </c>
      <c r="E259" s="7" t="str">
        <f>IFERROR(INDEX([2]Details!E:E,MATCH("gemini|with_guideline|61",[2]Details!H:H,0)),"N/A")</f>
        <v>Group1</v>
      </c>
      <c r="F259" s="7" t="str">
        <f>IFERROR(INDEX([2]Details!E:E,MATCH("llama|with_guideline|61",[2]Details!H:H,0)),"N/A")</f>
        <v>PARSE_ERROR</v>
      </c>
      <c r="G259" s="7">
        <f t="shared" si="5"/>
        <v>2</v>
      </c>
      <c r="H259" s="7" t="b">
        <f t="shared" si="6"/>
        <v>0</v>
      </c>
    </row>
    <row r="260" spans="1:8" x14ac:dyDescent="0.2">
      <c r="A260" s="7">
        <v>62</v>
      </c>
      <c r="B260" s="7" t="str">
        <f>IFERROR(INDEX([2]Details!D:D,MATCH("gpt|with_guideline|62",[2]Details!H:H,0)),"N/A")</f>
        <v>Group2</v>
      </c>
      <c r="C260" s="7" t="str">
        <f>IFERROR(INDEX([2]Details!E:E,MATCH("gpt|with_guideline|62",[2]Details!H:H,0)),"N/A")</f>
        <v>Group1</v>
      </c>
      <c r="D260" s="7" t="str">
        <f>IFERROR(INDEX([2]Details!E:E,MATCH("claude|with_guideline|62",[2]Details!H:H,0)),"N/A")</f>
        <v>PARSE_ERROR</v>
      </c>
      <c r="E260" s="7" t="str">
        <f>IFERROR(INDEX([2]Details!E:E,MATCH("gemini|with_guideline|62",[2]Details!H:H,0)),"N/A")</f>
        <v>Group1</v>
      </c>
      <c r="F260" s="7" t="str">
        <f>IFERROR(INDEX([2]Details!E:E,MATCH("llama|with_guideline|62",[2]Details!H:H,0)),"N/A")</f>
        <v>PARSE_ERROR</v>
      </c>
      <c r="G260" s="7">
        <f t="shared" si="5"/>
        <v>4</v>
      </c>
      <c r="H260" s="7" t="b">
        <f t="shared" si="6"/>
        <v>0</v>
      </c>
    </row>
    <row r="261" spans="1:8" x14ac:dyDescent="0.2">
      <c r="A261" s="7">
        <v>63</v>
      </c>
      <c r="B261" s="7" t="str">
        <f>IFERROR(INDEX([2]Details!D:D,MATCH("gpt|with_guideline|63",[2]Details!H:H,0)),"N/A")</f>
        <v>Group2</v>
      </c>
      <c r="C261" s="7" t="str">
        <f>IFERROR(INDEX([2]Details!E:E,MATCH("gpt|with_guideline|63",[2]Details!H:H,0)),"N/A")</f>
        <v>Group2</v>
      </c>
      <c r="D261" s="7" t="str">
        <f>IFERROR(INDEX([2]Details!E:E,MATCH("claude|with_guideline|63",[2]Details!H:H,0)),"N/A")</f>
        <v>PARSE_ERROR</v>
      </c>
      <c r="E261" s="7" t="str">
        <f>IFERROR(INDEX([2]Details!E:E,MATCH("gemini|with_guideline|63",[2]Details!H:H,0)),"N/A")</f>
        <v>Group2</v>
      </c>
      <c r="F261" s="7" t="str">
        <f>IFERROR(INDEX([2]Details!E:E,MATCH("llama|with_guideline|63",[2]Details!H:H,0)),"N/A")</f>
        <v>PARSE_ERROR</v>
      </c>
      <c r="G261" s="7">
        <f t="shared" si="5"/>
        <v>2</v>
      </c>
      <c r="H261" s="7" t="b">
        <f t="shared" si="6"/>
        <v>0</v>
      </c>
    </row>
    <row r="262" spans="1:8" x14ac:dyDescent="0.2">
      <c r="A262" s="7">
        <v>64</v>
      </c>
      <c r="B262" s="7" t="str">
        <f>IFERROR(INDEX([2]Details!D:D,MATCH("gpt|with_guideline|64",[2]Details!H:H,0)),"N/A")</f>
        <v>Group1</v>
      </c>
      <c r="C262" s="7" t="str">
        <f>IFERROR(INDEX([2]Details!E:E,MATCH("gpt|with_guideline|64",[2]Details!H:H,0)),"N/A")</f>
        <v>Group1</v>
      </c>
      <c r="D262" s="7" t="str">
        <f>IFERROR(INDEX([2]Details!E:E,MATCH("claude|with_guideline|64",[2]Details!H:H,0)),"N/A")</f>
        <v>PARSE_ERROR</v>
      </c>
      <c r="E262" s="7" t="str">
        <f>IFERROR(INDEX([2]Details!E:E,MATCH("gemini|with_guideline|64",[2]Details!H:H,0)),"N/A")</f>
        <v>Group1</v>
      </c>
      <c r="F262" s="7" t="str">
        <f>IFERROR(INDEX([2]Details!E:E,MATCH("llama|with_guideline|64",[2]Details!H:H,0)),"N/A")</f>
        <v>PARSE_ERROR</v>
      </c>
      <c r="G262" s="7">
        <f t="shared" si="5"/>
        <v>2</v>
      </c>
      <c r="H262" s="7" t="b">
        <f t="shared" si="6"/>
        <v>0</v>
      </c>
    </row>
    <row r="263" spans="1:8" x14ac:dyDescent="0.2">
      <c r="A263" s="7">
        <v>65</v>
      </c>
      <c r="B263" s="7" t="str">
        <f>IFERROR(INDEX([2]Details!D:D,MATCH("gpt|with_guideline|65",[2]Details!H:H,0)),"N/A")</f>
        <v>Group2</v>
      </c>
      <c r="C263" s="7" t="str">
        <f>IFERROR(INDEX([2]Details!E:E,MATCH("gpt|with_guideline|65",[2]Details!H:H,0)),"N/A")</f>
        <v>Group2</v>
      </c>
      <c r="D263" s="7" t="str">
        <f>IFERROR(INDEX([2]Details!E:E,MATCH("claude|with_guideline|65",[2]Details!H:H,0)),"N/A")</f>
        <v>PARSE_ERROR</v>
      </c>
      <c r="E263" s="7" t="str">
        <f>IFERROR(INDEX([2]Details!E:E,MATCH("gemini|with_guideline|65",[2]Details!H:H,0)),"N/A")</f>
        <v>Group2</v>
      </c>
      <c r="F263" s="7" t="str">
        <f>IFERROR(INDEX([2]Details!E:E,MATCH("llama|with_guideline|65",[2]Details!H:H,0)),"N/A")</f>
        <v>PARSE_ERROR</v>
      </c>
      <c r="G263" s="7">
        <f t="shared" si="5"/>
        <v>2</v>
      </c>
      <c r="H263" s="7" t="b">
        <f t="shared" si="6"/>
        <v>0</v>
      </c>
    </row>
    <row r="264" spans="1:8" x14ac:dyDescent="0.2">
      <c r="A264" s="7">
        <v>66</v>
      </c>
      <c r="B264" s="7" t="str">
        <f>IFERROR(INDEX([2]Details!D:D,MATCH("gpt|with_guideline|66",[2]Details!H:H,0)),"N/A")</f>
        <v>Group1</v>
      </c>
      <c r="C264" s="7" t="str">
        <f>IFERROR(INDEX([2]Details!E:E,MATCH("gpt|with_guideline|66",[2]Details!H:H,0)),"N/A")</f>
        <v>Group1</v>
      </c>
      <c r="D264" s="7" t="str">
        <f>IFERROR(INDEX([2]Details!E:E,MATCH("claude|with_guideline|66",[2]Details!H:H,0)),"N/A")</f>
        <v>PARSE_ERROR</v>
      </c>
      <c r="E264" s="7" t="str">
        <f>IFERROR(INDEX([2]Details!E:E,MATCH("gemini|with_guideline|66",[2]Details!H:H,0)),"N/A")</f>
        <v>Group1</v>
      </c>
      <c r="F264" s="7" t="str">
        <f>IFERROR(INDEX([2]Details!E:E,MATCH("llama|with_guideline|66",[2]Details!H:H,0)),"N/A")</f>
        <v>PARSE_ERROR</v>
      </c>
      <c r="G264" s="7">
        <f t="shared" si="5"/>
        <v>2</v>
      </c>
      <c r="H264" s="7" t="b">
        <f t="shared" si="6"/>
        <v>0</v>
      </c>
    </row>
    <row r="265" spans="1:8" x14ac:dyDescent="0.2">
      <c r="A265" s="7">
        <v>67</v>
      </c>
      <c r="B265" s="7" t="str">
        <f>IFERROR(INDEX([2]Details!D:D,MATCH("gpt|with_guideline|67",[2]Details!H:H,0)),"N/A")</f>
        <v>Group2</v>
      </c>
      <c r="C265" s="7" t="str">
        <f>IFERROR(INDEX([2]Details!E:E,MATCH("gpt|with_guideline|67",[2]Details!H:H,0)),"N/A")</f>
        <v>Group2</v>
      </c>
      <c r="D265" s="7" t="str">
        <f>IFERROR(INDEX([2]Details!E:E,MATCH("claude|with_guideline|67",[2]Details!H:H,0)),"N/A")</f>
        <v>PARSE_ERROR</v>
      </c>
      <c r="E265" s="7" t="str">
        <f>IFERROR(INDEX([2]Details!E:E,MATCH("gemini|with_guideline|67",[2]Details!H:H,0)),"N/A")</f>
        <v>Group2</v>
      </c>
      <c r="F265" s="7" t="str">
        <f>IFERROR(INDEX([2]Details!E:E,MATCH("llama|with_guideline|67",[2]Details!H:H,0)),"N/A")</f>
        <v>PARSE_ERROR</v>
      </c>
      <c r="G265" s="7">
        <f t="shared" si="5"/>
        <v>2</v>
      </c>
      <c r="H265" s="7" t="b">
        <f t="shared" si="6"/>
        <v>0</v>
      </c>
    </row>
    <row r="266" spans="1:8" x14ac:dyDescent="0.2">
      <c r="A266" s="7">
        <v>68</v>
      </c>
      <c r="B266" s="7" t="str">
        <f>IFERROR(INDEX([2]Details!D:D,MATCH("gpt|with_guideline|68",[2]Details!H:H,0)),"N/A")</f>
        <v>Group1</v>
      </c>
      <c r="C266" s="7" t="str">
        <f>IFERROR(INDEX([2]Details!E:E,MATCH("gpt|with_guideline|68",[2]Details!H:H,0)),"N/A")</f>
        <v>Group2</v>
      </c>
      <c r="D266" s="7" t="str">
        <f>IFERROR(INDEX([2]Details!E:E,MATCH("claude|with_guideline|68",[2]Details!H:H,0)),"N/A")</f>
        <v>PARSE_ERROR</v>
      </c>
      <c r="E266" s="7" t="str">
        <f>IFERROR(INDEX([2]Details!E:E,MATCH("gemini|with_guideline|68",[2]Details!H:H,0)),"N/A")</f>
        <v>Group1</v>
      </c>
      <c r="F266" s="7" t="str">
        <f>IFERROR(INDEX([2]Details!E:E,MATCH("llama|with_guideline|68",[2]Details!H:H,0)),"N/A")</f>
        <v>PARSE_ERROR</v>
      </c>
      <c r="G266" s="7">
        <f t="shared" si="5"/>
        <v>3</v>
      </c>
      <c r="H266" s="7" t="b">
        <f t="shared" si="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6B95C-CF51-A04A-9FBD-56A058D7CE65}">
  <dimension ref="A1:H203"/>
  <sheetViews>
    <sheetView topLeftCell="A179" workbookViewId="0">
      <selection activeCell="D209" sqref="D209"/>
    </sheetView>
  </sheetViews>
  <sheetFormatPr baseColWidth="10" defaultRowHeight="15" x14ac:dyDescent="0.2"/>
  <cols>
    <col min="2" max="2" width="15.5" customWidth="1"/>
    <col min="4" max="4" width="31.33203125" customWidth="1"/>
    <col min="5" max="5" width="43.83203125" customWidth="1"/>
    <col min="7" max="7" width="50.6640625" customWidth="1"/>
  </cols>
  <sheetData>
    <row r="1" spans="1:8" x14ac:dyDescent="0.2">
      <c r="A1" s="10" t="s">
        <v>0</v>
      </c>
      <c r="B1" s="10" t="s">
        <v>1</v>
      </c>
      <c r="C1" s="10" t="s">
        <v>2</v>
      </c>
      <c r="D1" s="10" t="s">
        <v>3</v>
      </c>
      <c r="E1" s="10" t="s">
        <v>4</v>
      </c>
      <c r="F1" s="10" t="s">
        <v>5</v>
      </c>
      <c r="G1" s="10" t="s">
        <v>6</v>
      </c>
      <c r="H1" s="10" t="s">
        <v>7</v>
      </c>
    </row>
    <row r="2" spans="1:8" x14ac:dyDescent="0.2">
      <c r="A2" s="7" t="s">
        <v>8</v>
      </c>
      <c r="B2" s="7" t="s">
        <v>9</v>
      </c>
      <c r="C2" s="7">
        <v>1</v>
      </c>
      <c r="D2" s="7" t="s">
        <v>92</v>
      </c>
      <c r="E2" s="7" t="s">
        <v>92</v>
      </c>
      <c r="F2" s="14" t="b">
        <f>TRUE()</f>
        <v>1</v>
      </c>
      <c r="G2" s="7" t="s">
        <v>93</v>
      </c>
      <c r="H2" s="7" t="str">
        <f t="shared" ref="H2:H65" si="0">A2&amp;"|"&amp;B2&amp;"|"&amp;C2</f>
        <v>gpt|no_guideline|1</v>
      </c>
    </row>
    <row r="3" spans="1:8" x14ac:dyDescent="0.2">
      <c r="A3" s="7" t="s">
        <v>8</v>
      </c>
      <c r="B3" s="7" t="s">
        <v>9</v>
      </c>
      <c r="C3" s="7">
        <v>2</v>
      </c>
      <c r="D3" s="7" t="s">
        <v>92</v>
      </c>
      <c r="E3" s="7" t="s">
        <v>94</v>
      </c>
      <c r="F3" s="15" t="b">
        <f>FALSE()</f>
        <v>0</v>
      </c>
      <c r="G3" s="7" t="s">
        <v>95</v>
      </c>
      <c r="H3" s="7" t="str">
        <f t="shared" si="0"/>
        <v>gpt|no_guideline|2</v>
      </c>
    </row>
    <row r="4" spans="1:8" x14ac:dyDescent="0.2">
      <c r="A4" s="7" t="s">
        <v>8</v>
      </c>
      <c r="B4" s="7" t="s">
        <v>9</v>
      </c>
      <c r="C4" s="7">
        <v>3</v>
      </c>
      <c r="D4" s="7" t="s">
        <v>92</v>
      </c>
      <c r="E4" s="7" t="s">
        <v>92</v>
      </c>
      <c r="F4" s="14" t="b">
        <f>TRUE()</f>
        <v>1</v>
      </c>
      <c r="G4" s="7" t="s">
        <v>96</v>
      </c>
      <c r="H4" s="7" t="str">
        <f t="shared" si="0"/>
        <v>gpt|no_guideline|3</v>
      </c>
    </row>
    <row r="5" spans="1:8" x14ac:dyDescent="0.2">
      <c r="A5" s="7" t="s">
        <v>8</v>
      </c>
      <c r="B5" s="7" t="s">
        <v>9</v>
      </c>
      <c r="C5" s="7">
        <v>4</v>
      </c>
      <c r="D5" s="7" t="s">
        <v>94</v>
      </c>
      <c r="E5" s="7" t="s">
        <v>94</v>
      </c>
      <c r="F5" s="14" t="b">
        <f>TRUE()</f>
        <v>1</v>
      </c>
      <c r="G5" s="7" t="s">
        <v>97</v>
      </c>
      <c r="H5" s="7" t="str">
        <f t="shared" si="0"/>
        <v>gpt|no_guideline|4</v>
      </c>
    </row>
    <row r="6" spans="1:8" x14ac:dyDescent="0.2">
      <c r="A6" s="7" t="s">
        <v>8</v>
      </c>
      <c r="B6" s="7" t="s">
        <v>9</v>
      </c>
      <c r="C6" s="7">
        <v>11</v>
      </c>
      <c r="D6" s="7" t="s">
        <v>92</v>
      </c>
      <c r="E6" s="7" t="s">
        <v>92</v>
      </c>
      <c r="F6" s="14" t="b">
        <f>TRUE()</f>
        <v>1</v>
      </c>
      <c r="G6" s="7" t="s">
        <v>98</v>
      </c>
      <c r="H6" s="7" t="str">
        <f t="shared" si="0"/>
        <v>gpt|no_guideline|11</v>
      </c>
    </row>
    <row r="7" spans="1:8" x14ac:dyDescent="0.2">
      <c r="A7" s="7" t="s">
        <v>8</v>
      </c>
      <c r="B7" s="7" t="s">
        <v>9</v>
      </c>
      <c r="C7" s="7">
        <v>12</v>
      </c>
      <c r="D7" s="7" t="s">
        <v>94</v>
      </c>
      <c r="E7" s="7" t="s">
        <v>94</v>
      </c>
      <c r="F7" s="14" t="b">
        <f>TRUE()</f>
        <v>1</v>
      </c>
      <c r="G7" s="7" t="s">
        <v>99</v>
      </c>
      <c r="H7" s="7" t="str">
        <f t="shared" si="0"/>
        <v>gpt|no_guideline|12</v>
      </c>
    </row>
    <row r="8" spans="1:8" x14ac:dyDescent="0.2">
      <c r="A8" s="7" t="s">
        <v>8</v>
      </c>
      <c r="B8" s="7" t="s">
        <v>9</v>
      </c>
      <c r="C8" s="7">
        <v>13</v>
      </c>
      <c r="D8" s="7" t="s">
        <v>94</v>
      </c>
      <c r="E8" s="7" t="s">
        <v>94</v>
      </c>
      <c r="F8" s="14" t="b">
        <f>TRUE()</f>
        <v>1</v>
      </c>
      <c r="G8" s="7" t="s">
        <v>100</v>
      </c>
      <c r="H8" s="7" t="str">
        <f t="shared" si="0"/>
        <v>gpt|no_guideline|13</v>
      </c>
    </row>
    <row r="9" spans="1:8" x14ac:dyDescent="0.2">
      <c r="A9" s="7" t="s">
        <v>8</v>
      </c>
      <c r="B9" s="7" t="s">
        <v>9</v>
      </c>
      <c r="C9" s="7">
        <v>14</v>
      </c>
      <c r="D9" s="7" t="s">
        <v>101</v>
      </c>
      <c r="E9" s="7" t="s">
        <v>101</v>
      </c>
      <c r="F9" s="14" t="b">
        <f>TRUE()</f>
        <v>1</v>
      </c>
      <c r="G9" s="7" t="s">
        <v>102</v>
      </c>
      <c r="H9" s="7" t="str">
        <f t="shared" si="0"/>
        <v>gpt|no_guideline|14</v>
      </c>
    </row>
    <row r="10" spans="1:8" x14ac:dyDescent="0.2">
      <c r="A10" s="7" t="s">
        <v>8</v>
      </c>
      <c r="B10" s="7" t="s">
        <v>9</v>
      </c>
      <c r="C10" s="7">
        <v>21</v>
      </c>
      <c r="D10" s="7" t="s">
        <v>92</v>
      </c>
      <c r="E10" s="7" t="s">
        <v>101</v>
      </c>
      <c r="F10" s="15" t="b">
        <f>FALSE()</f>
        <v>0</v>
      </c>
      <c r="G10" s="7" t="s">
        <v>103</v>
      </c>
      <c r="H10" s="7" t="str">
        <f t="shared" si="0"/>
        <v>gpt|no_guideline|21</v>
      </c>
    </row>
    <row r="11" spans="1:8" x14ac:dyDescent="0.2">
      <c r="A11" s="7" t="s">
        <v>8</v>
      </c>
      <c r="B11" s="7" t="s">
        <v>9</v>
      </c>
      <c r="C11" s="7">
        <v>22</v>
      </c>
      <c r="D11" s="7" t="s">
        <v>101</v>
      </c>
      <c r="E11" s="7" t="s">
        <v>101</v>
      </c>
      <c r="F11" s="14" t="b">
        <f>TRUE()</f>
        <v>1</v>
      </c>
      <c r="G11" s="7" t="s">
        <v>104</v>
      </c>
      <c r="H11" s="7" t="str">
        <f t="shared" si="0"/>
        <v>gpt|no_guideline|22</v>
      </c>
    </row>
    <row r="12" spans="1:8" x14ac:dyDescent="0.2">
      <c r="A12" s="7" t="s">
        <v>8</v>
      </c>
      <c r="B12" s="7" t="s">
        <v>9</v>
      </c>
      <c r="C12" s="7">
        <v>23</v>
      </c>
      <c r="D12" s="7" t="s">
        <v>101</v>
      </c>
      <c r="E12" s="7" t="s">
        <v>101</v>
      </c>
      <c r="F12" s="14" t="b">
        <f>TRUE()</f>
        <v>1</v>
      </c>
      <c r="G12" s="7" t="s">
        <v>105</v>
      </c>
      <c r="H12" s="7" t="str">
        <f t="shared" si="0"/>
        <v>gpt|no_guideline|23</v>
      </c>
    </row>
    <row r="13" spans="1:8" x14ac:dyDescent="0.2">
      <c r="A13" s="7" t="s">
        <v>8</v>
      </c>
      <c r="B13" s="7" t="s">
        <v>9</v>
      </c>
      <c r="C13" s="7">
        <v>24</v>
      </c>
      <c r="D13" s="7" t="s">
        <v>101</v>
      </c>
      <c r="E13" s="7" t="s">
        <v>101</v>
      </c>
      <c r="F13" s="14" t="b">
        <f>TRUE()</f>
        <v>1</v>
      </c>
      <c r="G13" s="7" t="s">
        <v>106</v>
      </c>
      <c r="H13" s="7" t="str">
        <f t="shared" si="0"/>
        <v>gpt|no_guideline|24</v>
      </c>
    </row>
    <row r="14" spans="1:8" x14ac:dyDescent="0.2">
      <c r="A14" s="7" t="s">
        <v>8</v>
      </c>
      <c r="B14" s="7" t="s">
        <v>9</v>
      </c>
      <c r="C14" s="7">
        <v>25</v>
      </c>
      <c r="D14" s="7" t="s">
        <v>101</v>
      </c>
      <c r="E14" s="7" t="s">
        <v>101</v>
      </c>
      <c r="F14" s="14" t="b">
        <f>TRUE()</f>
        <v>1</v>
      </c>
      <c r="G14" s="7" t="s">
        <v>107</v>
      </c>
      <c r="H14" s="7" t="str">
        <f t="shared" si="0"/>
        <v>gpt|no_guideline|25</v>
      </c>
    </row>
    <row r="15" spans="1:8" x14ac:dyDescent="0.2">
      <c r="A15" s="7" t="s">
        <v>8</v>
      </c>
      <c r="B15" s="7" t="s">
        <v>9</v>
      </c>
      <c r="C15" s="7">
        <v>26</v>
      </c>
      <c r="D15" s="7" t="s">
        <v>101</v>
      </c>
      <c r="E15" s="7" t="s">
        <v>101</v>
      </c>
      <c r="F15" s="14" t="b">
        <f>TRUE()</f>
        <v>1</v>
      </c>
      <c r="G15" s="7" t="s">
        <v>108</v>
      </c>
      <c r="H15" s="7" t="str">
        <f t="shared" si="0"/>
        <v>gpt|no_guideline|26</v>
      </c>
    </row>
    <row r="16" spans="1:8" x14ac:dyDescent="0.2">
      <c r="A16" s="7" t="s">
        <v>8</v>
      </c>
      <c r="B16" s="7" t="s">
        <v>9</v>
      </c>
      <c r="C16" s="7">
        <v>27</v>
      </c>
      <c r="D16" s="7" t="s">
        <v>101</v>
      </c>
      <c r="E16" s="7" t="s">
        <v>101</v>
      </c>
      <c r="F16" s="14" t="b">
        <f>TRUE()</f>
        <v>1</v>
      </c>
      <c r="G16" s="7" t="s">
        <v>109</v>
      </c>
      <c r="H16" s="7" t="str">
        <f t="shared" si="0"/>
        <v>gpt|no_guideline|27</v>
      </c>
    </row>
    <row r="17" spans="1:8" x14ac:dyDescent="0.2">
      <c r="A17" s="7" t="s">
        <v>8</v>
      </c>
      <c r="B17" s="7" t="s">
        <v>9</v>
      </c>
      <c r="C17" s="7">
        <v>28</v>
      </c>
      <c r="D17" s="7" t="s">
        <v>101</v>
      </c>
      <c r="E17" s="7" t="s">
        <v>101</v>
      </c>
      <c r="F17" s="14" t="b">
        <f>TRUE()</f>
        <v>1</v>
      </c>
      <c r="G17" s="7" t="s">
        <v>110</v>
      </c>
      <c r="H17" s="7" t="str">
        <f t="shared" si="0"/>
        <v>gpt|no_guideline|28</v>
      </c>
    </row>
    <row r="18" spans="1:8" x14ac:dyDescent="0.2">
      <c r="A18" s="7" t="s">
        <v>8</v>
      </c>
      <c r="B18" s="7" t="s">
        <v>9</v>
      </c>
      <c r="C18" s="7">
        <v>29</v>
      </c>
      <c r="D18" s="7" t="s">
        <v>101</v>
      </c>
      <c r="E18" s="7" t="s">
        <v>101</v>
      </c>
      <c r="F18" s="14" t="b">
        <f>TRUE()</f>
        <v>1</v>
      </c>
      <c r="G18" s="7" t="s">
        <v>111</v>
      </c>
      <c r="H18" s="7" t="str">
        <f t="shared" si="0"/>
        <v>gpt|no_guideline|29</v>
      </c>
    </row>
    <row r="19" spans="1:8" x14ac:dyDescent="0.2">
      <c r="A19" s="7" t="s">
        <v>8</v>
      </c>
      <c r="B19" s="7" t="s">
        <v>9</v>
      </c>
      <c r="C19" s="7">
        <v>31</v>
      </c>
      <c r="D19" s="7" t="s">
        <v>92</v>
      </c>
      <c r="E19" s="7" t="s">
        <v>101</v>
      </c>
      <c r="F19" s="15" t="b">
        <f>FALSE()</f>
        <v>0</v>
      </c>
      <c r="G19" s="7" t="s">
        <v>112</v>
      </c>
      <c r="H19" s="7" t="str">
        <f t="shared" si="0"/>
        <v>gpt|no_guideline|31</v>
      </c>
    </row>
    <row r="20" spans="1:8" x14ac:dyDescent="0.2">
      <c r="A20" s="7" t="s">
        <v>8</v>
      </c>
      <c r="B20" s="7" t="s">
        <v>9</v>
      </c>
      <c r="C20" s="7">
        <v>32</v>
      </c>
      <c r="D20" s="7" t="s">
        <v>92</v>
      </c>
      <c r="E20" s="7" t="s">
        <v>92</v>
      </c>
      <c r="F20" s="14" t="b">
        <f>TRUE()</f>
        <v>1</v>
      </c>
      <c r="G20" s="7" t="s">
        <v>113</v>
      </c>
      <c r="H20" s="7" t="str">
        <f t="shared" si="0"/>
        <v>gpt|no_guideline|32</v>
      </c>
    </row>
    <row r="21" spans="1:8" x14ac:dyDescent="0.2">
      <c r="A21" s="7" t="s">
        <v>8</v>
      </c>
      <c r="B21" s="7" t="s">
        <v>9</v>
      </c>
      <c r="C21" s="7">
        <v>41</v>
      </c>
      <c r="D21" s="7" t="s">
        <v>94</v>
      </c>
      <c r="E21" s="7" t="s">
        <v>94</v>
      </c>
      <c r="F21" s="14" t="b">
        <f>TRUE()</f>
        <v>1</v>
      </c>
      <c r="G21" s="7" t="s">
        <v>114</v>
      </c>
      <c r="H21" s="7" t="str">
        <f t="shared" si="0"/>
        <v>gpt|no_guideline|41</v>
      </c>
    </row>
    <row r="22" spans="1:8" x14ac:dyDescent="0.2">
      <c r="A22" s="7" t="s">
        <v>8</v>
      </c>
      <c r="B22" s="7" t="s">
        <v>27</v>
      </c>
      <c r="C22" s="7">
        <v>1</v>
      </c>
      <c r="D22" s="7" t="s">
        <v>92</v>
      </c>
      <c r="E22" s="7" t="s">
        <v>92</v>
      </c>
      <c r="F22" s="14" t="b">
        <f>TRUE()</f>
        <v>1</v>
      </c>
      <c r="G22" s="7" t="s">
        <v>93</v>
      </c>
      <c r="H22" s="7" t="str">
        <f t="shared" si="0"/>
        <v>gpt|with_guideline|1</v>
      </c>
    </row>
    <row r="23" spans="1:8" x14ac:dyDescent="0.2">
      <c r="A23" s="7" t="s">
        <v>8</v>
      </c>
      <c r="B23" s="7" t="s">
        <v>27</v>
      </c>
      <c r="C23" s="7">
        <v>2</v>
      </c>
      <c r="D23" s="7" t="s">
        <v>92</v>
      </c>
      <c r="E23" s="7" t="s">
        <v>94</v>
      </c>
      <c r="F23" s="15" t="b">
        <f>FALSE()</f>
        <v>0</v>
      </c>
      <c r="G23" s="7" t="s">
        <v>95</v>
      </c>
      <c r="H23" s="7" t="str">
        <f t="shared" si="0"/>
        <v>gpt|with_guideline|2</v>
      </c>
    </row>
    <row r="24" spans="1:8" x14ac:dyDescent="0.2">
      <c r="A24" s="7" t="s">
        <v>8</v>
      </c>
      <c r="B24" s="7" t="s">
        <v>27</v>
      </c>
      <c r="C24" s="7">
        <v>3</v>
      </c>
      <c r="D24" s="7" t="s">
        <v>92</v>
      </c>
      <c r="E24" s="7" t="s">
        <v>92</v>
      </c>
      <c r="F24" s="14" t="b">
        <f>TRUE()</f>
        <v>1</v>
      </c>
      <c r="G24" s="7" t="s">
        <v>96</v>
      </c>
      <c r="H24" s="7" t="str">
        <f t="shared" si="0"/>
        <v>gpt|with_guideline|3</v>
      </c>
    </row>
    <row r="25" spans="1:8" x14ac:dyDescent="0.2">
      <c r="A25" s="7" t="s">
        <v>8</v>
      </c>
      <c r="B25" s="7" t="s">
        <v>27</v>
      </c>
      <c r="C25" s="7">
        <v>4</v>
      </c>
      <c r="D25" s="7" t="s">
        <v>94</v>
      </c>
      <c r="E25" s="7" t="s">
        <v>94</v>
      </c>
      <c r="F25" s="14" t="b">
        <f>TRUE()</f>
        <v>1</v>
      </c>
      <c r="G25" s="7" t="s">
        <v>97</v>
      </c>
      <c r="H25" s="7" t="str">
        <f t="shared" si="0"/>
        <v>gpt|with_guideline|4</v>
      </c>
    </row>
    <row r="26" spans="1:8" x14ac:dyDescent="0.2">
      <c r="A26" s="7" t="s">
        <v>8</v>
      </c>
      <c r="B26" s="7" t="s">
        <v>27</v>
      </c>
      <c r="C26" s="7">
        <v>11</v>
      </c>
      <c r="D26" s="7" t="s">
        <v>92</v>
      </c>
      <c r="E26" s="7" t="s">
        <v>92</v>
      </c>
      <c r="F26" s="14" t="b">
        <f>TRUE()</f>
        <v>1</v>
      </c>
      <c r="G26" s="7" t="s">
        <v>98</v>
      </c>
      <c r="H26" s="7" t="str">
        <f t="shared" si="0"/>
        <v>gpt|with_guideline|11</v>
      </c>
    </row>
    <row r="27" spans="1:8" x14ac:dyDescent="0.2">
      <c r="A27" s="7" t="s">
        <v>8</v>
      </c>
      <c r="B27" s="7" t="s">
        <v>27</v>
      </c>
      <c r="C27" s="7">
        <v>12</v>
      </c>
      <c r="D27" s="7" t="s">
        <v>94</v>
      </c>
      <c r="E27" s="7" t="s">
        <v>94</v>
      </c>
      <c r="F27" s="14" t="b">
        <f>TRUE()</f>
        <v>1</v>
      </c>
      <c r="G27" s="7" t="s">
        <v>99</v>
      </c>
      <c r="H27" s="7" t="str">
        <f t="shared" si="0"/>
        <v>gpt|with_guideline|12</v>
      </c>
    </row>
    <row r="28" spans="1:8" x14ac:dyDescent="0.2">
      <c r="A28" s="7" t="s">
        <v>8</v>
      </c>
      <c r="B28" s="7" t="s">
        <v>27</v>
      </c>
      <c r="C28" s="7">
        <v>13</v>
      </c>
      <c r="D28" s="7" t="s">
        <v>94</v>
      </c>
      <c r="E28" s="7" t="s">
        <v>94</v>
      </c>
      <c r="F28" s="14" t="b">
        <f>TRUE()</f>
        <v>1</v>
      </c>
      <c r="G28" s="7" t="s">
        <v>100</v>
      </c>
      <c r="H28" s="7" t="str">
        <f t="shared" si="0"/>
        <v>gpt|with_guideline|13</v>
      </c>
    </row>
    <row r="29" spans="1:8" x14ac:dyDescent="0.2">
      <c r="A29" s="7" t="s">
        <v>8</v>
      </c>
      <c r="B29" s="7" t="s">
        <v>27</v>
      </c>
      <c r="C29" s="7">
        <v>14</v>
      </c>
      <c r="D29" s="7" t="s">
        <v>101</v>
      </c>
      <c r="E29" s="7" t="s">
        <v>101</v>
      </c>
      <c r="F29" s="14" t="b">
        <f>TRUE()</f>
        <v>1</v>
      </c>
      <c r="G29" s="7" t="s">
        <v>102</v>
      </c>
      <c r="H29" s="7" t="str">
        <f t="shared" si="0"/>
        <v>gpt|with_guideline|14</v>
      </c>
    </row>
    <row r="30" spans="1:8" x14ac:dyDescent="0.2">
      <c r="A30" s="7" t="s">
        <v>8</v>
      </c>
      <c r="B30" s="7" t="s">
        <v>27</v>
      </c>
      <c r="C30" s="7">
        <v>21</v>
      </c>
      <c r="D30" s="7" t="s">
        <v>92</v>
      </c>
      <c r="E30" s="7" t="s">
        <v>92</v>
      </c>
      <c r="F30" s="14" t="b">
        <f>TRUE()</f>
        <v>1</v>
      </c>
      <c r="G30" s="7" t="s">
        <v>103</v>
      </c>
      <c r="H30" s="7" t="str">
        <f t="shared" si="0"/>
        <v>gpt|with_guideline|21</v>
      </c>
    </row>
    <row r="31" spans="1:8" x14ac:dyDescent="0.2">
      <c r="A31" s="7" t="s">
        <v>8</v>
      </c>
      <c r="B31" s="7" t="s">
        <v>27</v>
      </c>
      <c r="C31" s="7">
        <v>22</v>
      </c>
      <c r="D31" s="7" t="s">
        <v>101</v>
      </c>
      <c r="E31" s="7" t="s">
        <v>101</v>
      </c>
      <c r="F31" s="14" t="b">
        <f>TRUE()</f>
        <v>1</v>
      </c>
      <c r="G31" s="7" t="s">
        <v>104</v>
      </c>
      <c r="H31" s="7" t="str">
        <f t="shared" si="0"/>
        <v>gpt|with_guideline|22</v>
      </c>
    </row>
    <row r="32" spans="1:8" x14ac:dyDescent="0.2">
      <c r="A32" s="7" t="s">
        <v>8</v>
      </c>
      <c r="B32" s="7" t="s">
        <v>27</v>
      </c>
      <c r="C32" s="7">
        <v>23</v>
      </c>
      <c r="D32" s="7" t="s">
        <v>101</v>
      </c>
      <c r="E32" s="7" t="s">
        <v>101</v>
      </c>
      <c r="F32" s="14" t="b">
        <f>TRUE()</f>
        <v>1</v>
      </c>
      <c r="G32" s="7" t="s">
        <v>105</v>
      </c>
      <c r="H32" s="7" t="str">
        <f t="shared" si="0"/>
        <v>gpt|with_guideline|23</v>
      </c>
    </row>
    <row r="33" spans="1:8" x14ac:dyDescent="0.2">
      <c r="A33" s="7" t="s">
        <v>8</v>
      </c>
      <c r="B33" s="7" t="s">
        <v>27</v>
      </c>
      <c r="C33" s="7">
        <v>24</v>
      </c>
      <c r="D33" s="7" t="s">
        <v>101</v>
      </c>
      <c r="E33" s="7" t="s">
        <v>101</v>
      </c>
      <c r="F33" s="14" t="b">
        <f>TRUE()</f>
        <v>1</v>
      </c>
      <c r="G33" s="7" t="s">
        <v>106</v>
      </c>
      <c r="H33" s="7" t="str">
        <f t="shared" si="0"/>
        <v>gpt|with_guideline|24</v>
      </c>
    </row>
    <row r="34" spans="1:8" x14ac:dyDescent="0.2">
      <c r="A34" s="7" t="s">
        <v>8</v>
      </c>
      <c r="B34" s="7" t="s">
        <v>27</v>
      </c>
      <c r="C34" s="7">
        <v>25</v>
      </c>
      <c r="D34" s="7" t="s">
        <v>101</v>
      </c>
      <c r="E34" s="7" t="s">
        <v>101</v>
      </c>
      <c r="F34" s="14" t="b">
        <f>TRUE()</f>
        <v>1</v>
      </c>
      <c r="G34" s="7" t="s">
        <v>107</v>
      </c>
      <c r="H34" s="7" t="str">
        <f t="shared" si="0"/>
        <v>gpt|with_guideline|25</v>
      </c>
    </row>
    <row r="35" spans="1:8" x14ac:dyDescent="0.2">
      <c r="A35" s="7" t="s">
        <v>8</v>
      </c>
      <c r="B35" s="7" t="s">
        <v>27</v>
      </c>
      <c r="C35" s="7">
        <v>26</v>
      </c>
      <c r="D35" s="7" t="s">
        <v>101</v>
      </c>
      <c r="E35" s="7" t="s">
        <v>101</v>
      </c>
      <c r="F35" s="14" t="b">
        <f>TRUE()</f>
        <v>1</v>
      </c>
      <c r="G35" s="7" t="s">
        <v>108</v>
      </c>
      <c r="H35" s="7" t="str">
        <f t="shared" si="0"/>
        <v>gpt|with_guideline|26</v>
      </c>
    </row>
    <row r="36" spans="1:8" x14ac:dyDescent="0.2">
      <c r="A36" s="7" t="s">
        <v>8</v>
      </c>
      <c r="B36" s="7" t="s">
        <v>27</v>
      </c>
      <c r="C36" s="7">
        <v>27</v>
      </c>
      <c r="D36" s="7" t="s">
        <v>101</v>
      </c>
      <c r="E36" s="7" t="s">
        <v>101</v>
      </c>
      <c r="F36" s="14" t="b">
        <f>TRUE()</f>
        <v>1</v>
      </c>
      <c r="G36" s="7" t="s">
        <v>109</v>
      </c>
      <c r="H36" s="7" t="str">
        <f t="shared" si="0"/>
        <v>gpt|with_guideline|27</v>
      </c>
    </row>
    <row r="37" spans="1:8" x14ac:dyDescent="0.2">
      <c r="A37" s="7" t="s">
        <v>8</v>
      </c>
      <c r="B37" s="7" t="s">
        <v>27</v>
      </c>
      <c r="C37" s="7">
        <v>28</v>
      </c>
      <c r="D37" s="7" t="s">
        <v>101</v>
      </c>
      <c r="E37" s="7" t="s">
        <v>101</v>
      </c>
      <c r="F37" s="14" t="b">
        <f>TRUE()</f>
        <v>1</v>
      </c>
      <c r="G37" s="7" t="s">
        <v>110</v>
      </c>
      <c r="H37" s="7" t="str">
        <f t="shared" si="0"/>
        <v>gpt|with_guideline|28</v>
      </c>
    </row>
    <row r="38" spans="1:8" x14ac:dyDescent="0.2">
      <c r="A38" s="7" t="s">
        <v>8</v>
      </c>
      <c r="B38" s="7" t="s">
        <v>27</v>
      </c>
      <c r="C38" s="7">
        <v>29</v>
      </c>
      <c r="D38" s="7" t="s">
        <v>101</v>
      </c>
      <c r="E38" s="7" t="s">
        <v>101</v>
      </c>
      <c r="F38" s="14" t="b">
        <f>TRUE()</f>
        <v>1</v>
      </c>
      <c r="G38" s="7" t="s">
        <v>111</v>
      </c>
      <c r="H38" s="7" t="str">
        <f t="shared" si="0"/>
        <v>gpt|with_guideline|29</v>
      </c>
    </row>
    <row r="39" spans="1:8" x14ac:dyDescent="0.2">
      <c r="A39" s="7" t="s">
        <v>8</v>
      </c>
      <c r="B39" s="7" t="s">
        <v>27</v>
      </c>
      <c r="C39" s="7">
        <v>31</v>
      </c>
      <c r="D39" s="7" t="s">
        <v>92</v>
      </c>
      <c r="E39" s="7" t="s">
        <v>92</v>
      </c>
      <c r="F39" s="14" t="b">
        <f>TRUE()</f>
        <v>1</v>
      </c>
      <c r="G39" s="7" t="s">
        <v>112</v>
      </c>
      <c r="H39" s="7" t="str">
        <f t="shared" si="0"/>
        <v>gpt|with_guideline|31</v>
      </c>
    </row>
    <row r="40" spans="1:8" x14ac:dyDescent="0.2">
      <c r="A40" s="7" t="s">
        <v>8</v>
      </c>
      <c r="B40" s="7" t="s">
        <v>27</v>
      </c>
      <c r="C40" s="7">
        <v>32</v>
      </c>
      <c r="D40" s="7" t="s">
        <v>92</v>
      </c>
      <c r="E40" s="7" t="s">
        <v>92</v>
      </c>
      <c r="F40" s="14" t="b">
        <f>TRUE()</f>
        <v>1</v>
      </c>
      <c r="G40" s="7" t="s">
        <v>113</v>
      </c>
      <c r="H40" s="7" t="str">
        <f t="shared" si="0"/>
        <v>gpt|with_guideline|32</v>
      </c>
    </row>
    <row r="41" spans="1:8" x14ac:dyDescent="0.2">
      <c r="A41" s="7" t="s">
        <v>8</v>
      </c>
      <c r="B41" s="7" t="s">
        <v>27</v>
      </c>
      <c r="C41" s="7">
        <v>41</v>
      </c>
      <c r="D41" s="7" t="s">
        <v>94</v>
      </c>
      <c r="E41" s="7" t="s">
        <v>94</v>
      </c>
      <c r="F41" s="14" t="b">
        <f>TRUE()</f>
        <v>1</v>
      </c>
      <c r="G41" s="7" t="s">
        <v>114</v>
      </c>
      <c r="H41" s="7" t="str">
        <f t="shared" si="0"/>
        <v>gpt|with_guideline|41</v>
      </c>
    </row>
    <row r="42" spans="1:8" x14ac:dyDescent="0.2">
      <c r="A42" s="7" t="s">
        <v>28</v>
      </c>
      <c r="B42" s="7" t="s">
        <v>9</v>
      </c>
      <c r="C42" s="7">
        <v>1</v>
      </c>
      <c r="D42" s="7" t="s">
        <v>92</v>
      </c>
      <c r="E42" s="7" t="s">
        <v>29</v>
      </c>
      <c r="F42" s="15" t="b">
        <f>FALSE()</f>
        <v>0</v>
      </c>
      <c r="G42" s="7" t="s">
        <v>93</v>
      </c>
      <c r="H42" s="7" t="str">
        <f t="shared" si="0"/>
        <v>claude|no_guideline|1</v>
      </c>
    </row>
    <row r="43" spans="1:8" x14ac:dyDescent="0.2">
      <c r="A43" s="7" t="s">
        <v>28</v>
      </c>
      <c r="B43" s="7" t="s">
        <v>9</v>
      </c>
      <c r="C43" s="7">
        <v>2</v>
      </c>
      <c r="D43" s="7" t="s">
        <v>92</v>
      </c>
      <c r="E43" s="7" t="s">
        <v>29</v>
      </c>
      <c r="F43" s="15" t="b">
        <f>FALSE()</f>
        <v>0</v>
      </c>
      <c r="G43" s="7" t="s">
        <v>95</v>
      </c>
      <c r="H43" s="7" t="str">
        <f t="shared" si="0"/>
        <v>claude|no_guideline|2</v>
      </c>
    </row>
    <row r="44" spans="1:8" x14ac:dyDescent="0.2">
      <c r="A44" s="7" t="s">
        <v>28</v>
      </c>
      <c r="B44" s="7" t="s">
        <v>9</v>
      </c>
      <c r="C44" s="7">
        <v>3</v>
      </c>
      <c r="D44" s="7" t="s">
        <v>92</v>
      </c>
      <c r="E44" s="7" t="s">
        <v>29</v>
      </c>
      <c r="F44" s="15" t="b">
        <f>FALSE()</f>
        <v>0</v>
      </c>
      <c r="G44" s="7" t="s">
        <v>96</v>
      </c>
      <c r="H44" s="7" t="str">
        <f t="shared" si="0"/>
        <v>claude|no_guideline|3</v>
      </c>
    </row>
    <row r="45" spans="1:8" x14ac:dyDescent="0.2">
      <c r="A45" s="7" t="s">
        <v>28</v>
      </c>
      <c r="B45" s="7" t="s">
        <v>9</v>
      </c>
      <c r="C45" s="7">
        <v>4</v>
      </c>
      <c r="D45" s="7" t="s">
        <v>94</v>
      </c>
      <c r="E45" s="7" t="s">
        <v>29</v>
      </c>
      <c r="F45" s="15" t="b">
        <f>FALSE()</f>
        <v>0</v>
      </c>
      <c r="G45" s="7" t="s">
        <v>97</v>
      </c>
      <c r="H45" s="7" t="str">
        <f t="shared" si="0"/>
        <v>claude|no_guideline|4</v>
      </c>
    </row>
    <row r="46" spans="1:8" x14ac:dyDescent="0.2">
      <c r="A46" s="7" t="s">
        <v>28</v>
      </c>
      <c r="B46" s="7" t="s">
        <v>9</v>
      </c>
      <c r="C46" s="7">
        <v>11</v>
      </c>
      <c r="D46" s="7" t="s">
        <v>92</v>
      </c>
      <c r="E46" s="7" t="s">
        <v>29</v>
      </c>
      <c r="F46" s="15" t="b">
        <f>FALSE()</f>
        <v>0</v>
      </c>
      <c r="G46" s="7" t="s">
        <v>98</v>
      </c>
      <c r="H46" s="7" t="str">
        <f t="shared" si="0"/>
        <v>claude|no_guideline|11</v>
      </c>
    </row>
    <row r="47" spans="1:8" x14ac:dyDescent="0.2">
      <c r="A47" s="7" t="s">
        <v>28</v>
      </c>
      <c r="B47" s="7" t="s">
        <v>9</v>
      </c>
      <c r="C47" s="7">
        <v>12</v>
      </c>
      <c r="D47" s="7" t="s">
        <v>94</v>
      </c>
      <c r="E47" s="7" t="s">
        <v>29</v>
      </c>
      <c r="F47" s="15" t="b">
        <f>FALSE()</f>
        <v>0</v>
      </c>
      <c r="G47" s="7" t="s">
        <v>99</v>
      </c>
      <c r="H47" s="7" t="str">
        <f t="shared" si="0"/>
        <v>claude|no_guideline|12</v>
      </c>
    </row>
    <row r="48" spans="1:8" x14ac:dyDescent="0.2">
      <c r="A48" s="7" t="s">
        <v>28</v>
      </c>
      <c r="B48" s="7" t="s">
        <v>9</v>
      </c>
      <c r="C48" s="7">
        <v>13</v>
      </c>
      <c r="D48" s="7" t="s">
        <v>94</v>
      </c>
      <c r="E48" s="7" t="s">
        <v>29</v>
      </c>
      <c r="F48" s="15" t="b">
        <f>FALSE()</f>
        <v>0</v>
      </c>
      <c r="G48" s="7" t="s">
        <v>100</v>
      </c>
      <c r="H48" s="7" t="str">
        <f t="shared" si="0"/>
        <v>claude|no_guideline|13</v>
      </c>
    </row>
    <row r="49" spans="1:8" x14ac:dyDescent="0.2">
      <c r="A49" s="7" t="s">
        <v>28</v>
      </c>
      <c r="B49" s="7" t="s">
        <v>9</v>
      </c>
      <c r="C49" s="7">
        <v>14</v>
      </c>
      <c r="D49" s="7" t="s">
        <v>101</v>
      </c>
      <c r="E49" s="7" t="s">
        <v>29</v>
      </c>
      <c r="F49" s="15" t="b">
        <f>FALSE()</f>
        <v>0</v>
      </c>
      <c r="G49" s="7" t="s">
        <v>102</v>
      </c>
      <c r="H49" s="7" t="str">
        <f t="shared" si="0"/>
        <v>claude|no_guideline|14</v>
      </c>
    </row>
    <row r="50" spans="1:8" x14ac:dyDescent="0.2">
      <c r="A50" s="7" t="s">
        <v>28</v>
      </c>
      <c r="B50" s="7" t="s">
        <v>9</v>
      </c>
      <c r="C50" s="7">
        <v>21</v>
      </c>
      <c r="D50" s="7" t="s">
        <v>92</v>
      </c>
      <c r="E50" s="7" t="s">
        <v>29</v>
      </c>
      <c r="F50" s="15" t="b">
        <f>FALSE()</f>
        <v>0</v>
      </c>
      <c r="G50" s="7" t="s">
        <v>103</v>
      </c>
      <c r="H50" s="7" t="str">
        <f t="shared" si="0"/>
        <v>claude|no_guideline|21</v>
      </c>
    </row>
    <row r="51" spans="1:8" x14ac:dyDescent="0.2">
      <c r="A51" s="7" t="s">
        <v>28</v>
      </c>
      <c r="B51" s="7" t="s">
        <v>9</v>
      </c>
      <c r="C51" s="7">
        <v>22</v>
      </c>
      <c r="D51" s="7" t="s">
        <v>101</v>
      </c>
      <c r="E51" s="7" t="s">
        <v>29</v>
      </c>
      <c r="F51" s="15" t="b">
        <f>FALSE()</f>
        <v>0</v>
      </c>
      <c r="G51" s="7" t="s">
        <v>104</v>
      </c>
      <c r="H51" s="7" t="str">
        <f t="shared" si="0"/>
        <v>claude|no_guideline|22</v>
      </c>
    </row>
    <row r="52" spans="1:8" x14ac:dyDescent="0.2">
      <c r="A52" s="7" t="s">
        <v>28</v>
      </c>
      <c r="B52" s="7" t="s">
        <v>9</v>
      </c>
      <c r="C52" s="7">
        <v>23</v>
      </c>
      <c r="D52" s="7" t="s">
        <v>101</v>
      </c>
      <c r="E52" s="7" t="s">
        <v>29</v>
      </c>
      <c r="F52" s="15" t="b">
        <f>FALSE()</f>
        <v>0</v>
      </c>
      <c r="G52" s="7" t="s">
        <v>105</v>
      </c>
      <c r="H52" s="7" t="str">
        <f t="shared" si="0"/>
        <v>claude|no_guideline|23</v>
      </c>
    </row>
    <row r="53" spans="1:8" x14ac:dyDescent="0.2">
      <c r="A53" s="7" t="s">
        <v>28</v>
      </c>
      <c r="B53" s="7" t="s">
        <v>9</v>
      </c>
      <c r="C53" s="7">
        <v>24</v>
      </c>
      <c r="D53" s="7" t="s">
        <v>101</v>
      </c>
      <c r="E53" s="7" t="s">
        <v>29</v>
      </c>
      <c r="F53" s="15" t="b">
        <f>FALSE()</f>
        <v>0</v>
      </c>
      <c r="G53" s="7" t="s">
        <v>106</v>
      </c>
      <c r="H53" s="7" t="str">
        <f t="shared" si="0"/>
        <v>claude|no_guideline|24</v>
      </c>
    </row>
    <row r="54" spans="1:8" x14ac:dyDescent="0.2">
      <c r="A54" s="7" t="s">
        <v>28</v>
      </c>
      <c r="B54" s="7" t="s">
        <v>9</v>
      </c>
      <c r="C54" s="7">
        <v>25</v>
      </c>
      <c r="D54" s="7" t="s">
        <v>101</v>
      </c>
      <c r="E54" s="7" t="s">
        <v>29</v>
      </c>
      <c r="F54" s="15" t="b">
        <f>FALSE()</f>
        <v>0</v>
      </c>
      <c r="G54" s="7" t="s">
        <v>107</v>
      </c>
      <c r="H54" s="7" t="str">
        <f t="shared" si="0"/>
        <v>claude|no_guideline|25</v>
      </c>
    </row>
    <row r="55" spans="1:8" x14ac:dyDescent="0.2">
      <c r="A55" s="7" t="s">
        <v>28</v>
      </c>
      <c r="B55" s="7" t="s">
        <v>9</v>
      </c>
      <c r="C55" s="7">
        <v>26</v>
      </c>
      <c r="D55" s="7" t="s">
        <v>101</v>
      </c>
      <c r="E55" s="7" t="s">
        <v>29</v>
      </c>
      <c r="F55" s="15" t="b">
        <f>FALSE()</f>
        <v>0</v>
      </c>
      <c r="G55" s="7" t="s">
        <v>108</v>
      </c>
      <c r="H55" s="7" t="str">
        <f t="shared" si="0"/>
        <v>claude|no_guideline|26</v>
      </c>
    </row>
    <row r="56" spans="1:8" x14ac:dyDescent="0.2">
      <c r="A56" s="7" t="s">
        <v>28</v>
      </c>
      <c r="B56" s="7" t="s">
        <v>9</v>
      </c>
      <c r="C56" s="7">
        <v>27</v>
      </c>
      <c r="D56" s="7" t="s">
        <v>101</v>
      </c>
      <c r="E56" s="7" t="s">
        <v>29</v>
      </c>
      <c r="F56" s="15" t="b">
        <f>FALSE()</f>
        <v>0</v>
      </c>
      <c r="G56" s="7" t="s">
        <v>109</v>
      </c>
      <c r="H56" s="7" t="str">
        <f t="shared" si="0"/>
        <v>claude|no_guideline|27</v>
      </c>
    </row>
    <row r="57" spans="1:8" x14ac:dyDescent="0.2">
      <c r="A57" s="7" t="s">
        <v>28</v>
      </c>
      <c r="B57" s="7" t="s">
        <v>9</v>
      </c>
      <c r="C57" s="7">
        <v>28</v>
      </c>
      <c r="D57" s="7" t="s">
        <v>101</v>
      </c>
      <c r="E57" s="7" t="s">
        <v>29</v>
      </c>
      <c r="F57" s="15" t="b">
        <f>FALSE()</f>
        <v>0</v>
      </c>
      <c r="G57" s="7" t="s">
        <v>110</v>
      </c>
      <c r="H57" s="7" t="str">
        <f t="shared" si="0"/>
        <v>claude|no_guideline|28</v>
      </c>
    </row>
    <row r="58" spans="1:8" x14ac:dyDescent="0.2">
      <c r="A58" s="7" t="s">
        <v>28</v>
      </c>
      <c r="B58" s="7" t="s">
        <v>9</v>
      </c>
      <c r="C58" s="7">
        <v>29</v>
      </c>
      <c r="D58" s="7" t="s">
        <v>101</v>
      </c>
      <c r="E58" s="7" t="s">
        <v>29</v>
      </c>
      <c r="F58" s="15" t="b">
        <f>FALSE()</f>
        <v>0</v>
      </c>
      <c r="G58" s="7" t="s">
        <v>111</v>
      </c>
      <c r="H58" s="7" t="str">
        <f t="shared" si="0"/>
        <v>claude|no_guideline|29</v>
      </c>
    </row>
    <row r="59" spans="1:8" x14ac:dyDescent="0.2">
      <c r="A59" s="7" t="s">
        <v>28</v>
      </c>
      <c r="B59" s="7" t="s">
        <v>9</v>
      </c>
      <c r="C59" s="7">
        <v>31</v>
      </c>
      <c r="D59" s="7" t="s">
        <v>92</v>
      </c>
      <c r="E59" s="7" t="s">
        <v>29</v>
      </c>
      <c r="F59" s="15" t="b">
        <f>FALSE()</f>
        <v>0</v>
      </c>
      <c r="G59" s="7" t="s">
        <v>112</v>
      </c>
      <c r="H59" s="7" t="str">
        <f t="shared" si="0"/>
        <v>claude|no_guideline|31</v>
      </c>
    </row>
    <row r="60" spans="1:8" x14ac:dyDescent="0.2">
      <c r="A60" s="7" t="s">
        <v>28</v>
      </c>
      <c r="B60" s="7" t="s">
        <v>9</v>
      </c>
      <c r="C60" s="7">
        <v>32</v>
      </c>
      <c r="D60" s="7" t="s">
        <v>92</v>
      </c>
      <c r="E60" s="7" t="s">
        <v>29</v>
      </c>
      <c r="F60" s="15" t="b">
        <f>FALSE()</f>
        <v>0</v>
      </c>
      <c r="G60" s="7" t="s">
        <v>113</v>
      </c>
      <c r="H60" s="7" t="str">
        <f t="shared" si="0"/>
        <v>claude|no_guideline|32</v>
      </c>
    </row>
    <row r="61" spans="1:8" x14ac:dyDescent="0.2">
      <c r="A61" s="7" t="s">
        <v>28</v>
      </c>
      <c r="B61" s="7" t="s">
        <v>9</v>
      </c>
      <c r="C61" s="7">
        <v>41</v>
      </c>
      <c r="D61" s="7" t="s">
        <v>94</v>
      </c>
      <c r="E61" s="7" t="s">
        <v>29</v>
      </c>
      <c r="F61" s="15" t="b">
        <f>FALSE()</f>
        <v>0</v>
      </c>
      <c r="G61" s="7" t="s">
        <v>114</v>
      </c>
      <c r="H61" s="7" t="str">
        <f t="shared" si="0"/>
        <v>claude|no_guideline|41</v>
      </c>
    </row>
    <row r="62" spans="1:8" x14ac:dyDescent="0.2">
      <c r="A62" s="7" t="s">
        <v>28</v>
      </c>
      <c r="B62" s="7" t="s">
        <v>27</v>
      </c>
      <c r="C62" s="7">
        <v>1</v>
      </c>
      <c r="D62" s="7" t="s">
        <v>92</v>
      </c>
      <c r="E62" s="7" t="s">
        <v>29</v>
      </c>
      <c r="F62" s="15" t="b">
        <f>FALSE()</f>
        <v>0</v>
      </c>
      <c r="G62" s="7" t="s">
        <v>93</v>
      </c>
      <c r="H62" s="7" t="str">
        <f t="shared" si="0"/>
        <v>claude|with_guideline|1</v>
      </c>
    </row>
    <row r="63" spans="1:8" x14ac:dyDescent="0.2">
      <c r="A63" s="7" t="s">
        <v>28</v>
      </c>
      <c r="B63" s="7" t="s">
        <v>27</v>
      </c>
      <c r="C63" s="7">
        <v>2</v>
      </c>
      <c r="D63" s="7" t="s">
        <v>92</v>
      </c>
      <c r="E63" s="7" t="s">
        <v>29</v>
      </c>
      <c r="F63" s="15" t="b">
        <f>FALSE()</f>
        <v>0</v>
      </c>
      <c r="G63" s="7" t="s">
        <v>95</v>
      </c>
      <c r="H63" s="7" t="str">
        <f t="shared" si="0"/>
        <v>claude|with_guideline|2</v>
      </c>
    </row>
    <row r="64" spans="1:8" x14ac:dyDescent="0.2">
      <c r="A64" s="7" t="s">
        <v>28</v>
      </c>
      <c r="B64" s="7" t="s">
        <v>27</v>
      </c>
      <c r="C64" s="7">
        <v>3</v>
      </c>
      <c r="D64" s="7" t="s">
        <v>92</v>
      </c>
      <c r="E64" s="7" t="s">
        <v>29</v>
      </c>
      <c r="F64" s="15" t="b">
        <f>FALSE()</f>
        <v>0</v>
      </c>
      <c r="G64" s="7" t="s">
        <v>96</v>
      </c>
      <c r="H64" s="7" t="str">
        <f t="shared" si="0"/>
        <v>claude|with_guideline|3</v>
      </c>
    </row>
    <row r="65" spans="1:8" x14ac:dyDescent="0.2">
      <c r="A65" s="7" t="s">
        <v>28</v>
      </c>
      <c r="B65" s="7" t="s">
        <v>27</v>
      </c>
      <c r="C65" s="7">
        <v>4</v>
      </c>
      <c r="D65" s="7" t="s">
        <v>94</v>
      </c>
      <c r="E65" s="7" t="s">
        <v>29</v>
      </c>
      <c r="F65" s="15" t="b">
        <f>FALSE()</f>
        <v>0</v>
      </c>
      <c r="G65" s="7" t="s">
        <v>97</v>
      </c>
      <c r="H65" s="7" t="str">
        <f t="shared" si="0"/>
        <v>claude|with_guideline|4</v>
      </c>
    </row>
    <row r="66" spans="1:8" x14ac:dyDescent="0.2">
      <c r="A66" s="7" t="s">
        <v>28</v>
      </c>
      <c r="B66" s="7" t="s">
        <v>27</v>
      </c>
      <c r="C66" s="7">
        <v>11</v>
      </c>
      <c r="D66" s="7" t="s">
        <v>92</v>
      </c>
      <c r="E66" s="7" t="s">
        <v>29</v>
      </c>
      <c r="F66" s="15" t="b">
        <f>FALSE()</f>
        <v>0</v>
      </c>
      <c r="G66" s="7" t="s">
        <v>98</v>
      </c>
      <c r="H66" s="7" t="str">
        <f t="shared" ref="H66:H129" si="1">A66&amp;"|"&amp;B66&amp;"|"&amp;C66</f>
        <v>claude|with_guideline|11</v>
      </c>
    </row>
    <row r="67" spans="1:8" x14ac:dyDescent="0.2">
      <c r="A67" s="7" t="s">
        <v>28</v>
      </c>
      <c r="B67" s="7" t="s">
        <v>27</v>
      </c>
      <c r="C67" s="7">
        <v>12</v>
      </c>
      <c r="D67" s="7" t="s">
        <v>94</v>
      </c>
      <c r="E67" s="7" t="s">
        <v>29</v>
      </c>
      <c r="F67" s="15" t="b">
        <f>FALSE()</f>
        <v>0</v>
      </c>
      <c r="G67" s="7" t="s">
        <v>99</v>
      </c>
      <c r="H67" s="7" t="str">
        <f t="shared" si="1"/>
        <v>claude|with_guideline|12</v>
      </c>
    </row>
    <row r="68" spans="1:8" x14ac:dyDescent="0.2">
      <c r="A68" s="7" t="s">
        <v>28</v>
      </c>
      <c r="B68" s="7" t="s">
        <v>27</v>
      </c>
      <c r="C68" s="7">
        <v>13</v>
      </c>
      <c r="D68" s="7" t="s">
        <v>94</v>
      </c>
      <c r="E68" s="7" t="s">
        <v>29</v>
      </c>
      <c r="F68" s="15" t="b">
        <f>FALSE()</f>
        <v>0</v>
      </c>
      <c r="G68" s="7" t="s">
        <v>100</v>
      </c>
      <c r="H68" s="7" t="str">
        <f t="shared" si="1"/>
        <v>claude|with_guideline|13</v>
      </c>
    </row>
    <row r="69" spans="1:8" x14ac:dyDescent="0.2">
      <c r="A69" s="7" t="s">
        <v>28</v>
      </c>
      <c r="B69" s="7" t="s">
        <v>27</v>
      </c>
      <c r="C69" s="7">
        <v>14</v>
      </c>
      <c r="D69" s="7" t="s">
        <v>101</v>
      </c>
      <c r="E69" s="7" t="s">
        <v>29</v>
      </c>
      <c r="F69" s="15" t="b">
        <f>FALSE()</f>
        <v>0</v>
      </c>
      <c r="G69" s="7" t="s">
        <v>102</v>
      </c>
      <c r="H69" s="7" t="str">
        <f t="shared" si="1"/>
        <v>claude|with_guideline|14</v>
      </c>
    </row>
    <row r="70" spans="1:8" x14ac:dyDescent="0.2">
      <c r="A70" s="7" t="s">
        <v>28</v>
      </c>
      <c r="B70" s="7" t="s">
        <v>27</v>
      </c>
      <c r="C70" s="7">
        <v>21</v>
      </c>
      <c r="D70" s="7" t="s">
        <v>92</v>
      </c>
      <c r="E70" s="7" t="s">
        <v>29</v>
      </c>
      <c r="F70" s="15" t="b">
        <f>FALSE()</f>
        <v>0</v>
      </c>
      <c r="G70" s="7" t="s">
        <v>103</v>
      </c>
      <c r="H70" s="7" t="str">
        <f t="shared" si="1"/>
        <v>claude|with_guideline|21</v>
      </c>
    </row>
    <row r="71" spans="1:8" x14ac:dyDescent="0.2">
      <c r="A71" s="7" t="s">
        <v>28</v>
      </c>
      <c r="B71" s="7" t="s">
        <v>27</v>
      </c>
      <c r="C71" s="7">
        <v>22</v>
      </c>
      <c r="D71" s="7" t="s">
        <v>101</v>
      </c>
      <c r="E71" s="7" t="s">
        <v>29</v>
      </c>
      <c r="F71" s="15" t="b">
        <f>FALSE()</f>
        <v>0</v>
      </c>
      <c r="G71" s="7" t="s">
        <v>104</v>
      </c>
      <c r="H71" s="7" t="str">
        <f t="shared" si="1"/>
        <v>claude|with_guideline|22</v>
      </c>
    </row>
    <row r="72" spans="1:8" x14ac:dyDescent="0.2">
      <c r="A72" s="7" t="s">
        <v>28</v>
      </c>
      <c r="B72" s="7" t="s">
        <v>27</v>
      </c>
      <c r="C72" s="7">
        <v>23</v>
      </c>
      <c r="D72" s="7" t="s">
        <v>101</v>
      </c>
      <c r="E72" s="7" t="s">
        <v>29</v>
      </c>
      <c r="F72" s="15" t="b">
        <f>FALSE()</f>
        <v>0</v>
      </c>
      <c r="G72" s="7" t="s">
        <v>105</v>
      </c>
      <c r="H72" s="7" t="str">
        <f t="shared" si="1"/>
        <v>claude|with_guideline|23</v>
      </c>
    </row>
    <row r="73" spans="1:8" x14ac:dyDescent="0.2">
      <c r="A73" s="7" t="s">
        <v>28</v>
      </c>
      <c r="B73" s="7" t="s">
        <v>27</v>
      </c>
      <c r="C73" s="7">
        <v>24</v>
      </c>
      <c r="D73" s="7" t="s">
        <v>101</v>
      </c>
      <c r="E73" s="7" t="s">
        <v>29</v>
      </c>
      <c r="F73" s="15" t="b">
        <f>FALSE()</f>
        <v>0</v>
      </c>
      <c r="G73" s="7" t="s">
        <v>106</v>
      </c>
      <c r="H73" s="7" t="str">
        <f t="shared" si="1"/>
        <v>claude|with_guideline|24</v>
      </c>
    </row>
    <row r="74" spans="1:8" x14ac:dyDescent="0.2">
      <c r="A74" s="7" t="s">
        <v>28</v>
      </c>
      <c r="B74" s="7" t="s">
        <v>27</v>
      </c>
      <c r="C74" s="7">
        <v>25</v>
      </c>
      <c r="D74" s="7" t="s">
        <v>101</v>
      </c>
      <c r="E74" s="7" t="s">
        <v>29</v>
      </c>
      <c r="F74" s="15" t="b">
        <f>FALSE()</f>
        <v>0</v>
      </c>
      <c r="G74" s="7" t="s">
        <v>107</v>
      </c>
      <c r="H74" s="7" t="str">
        <f t="shared" si="1"/>
        <v>claude|with_guideline|25</v>
      </c>
    </row>
    <row r="75" spans="1:8" x14ac:dyDescent="0.2">
      <c r="A75" s="7" t="s">
        <v>28</v>
      </c>
      <c r="B75" s="7" t="s">
        <v>27</v>
      </c>
      <c r="C75" s="7">
        <v>26</v>
      </c>
      <c r="D75" s="7" t="s">
        <v>101</v>
      </c>
      <c r="E75" s="7" t="s">
        <v>29</v>
      </c>
      <c r="F75" s="15" t="b">
        <f>FALSE()</f>
        <v>0</v>
      </c>
      <c r="G75" s="7" t="s">
        <v>108</v>
      </c>
      <c r="H75" s="7" t="str">
        <f t="shared" si="1"/>
        <v>claude|with_guideline|26</v>
      </c>
    </row>
    <row r="76" spans="1:8" x14ac:dyDescent="0.2">
      <c r="A76" s="7" t="s">
        <v>28</v>
      </c>
      <c r="B76" s="7" t="s">
        <v>27</v>
      </c>
      <c r="C76" s="7">
        <v>27</v>
      </c>
      <c r="D76" s="7" t="s">
        <v>101</v>
      </c>
      <c r="E76" s="7" t="s">
        <v>29</v>
      </c>
      <c r="F76" s="15" t="b">
        <f>FALSE()</f>
        <v>0</v>
      </c>
      <c r="G76" s="7" t="s">
        <v>109</v>
      </c>
      <c r="H76" s="7" t="str">
        <f t="shared" si="1"/>
        <v>claude|with_guideline|27</v>
      </c>
    </row>
    <row r="77" spans="1:8" x14ac:dyDescent="0.2">
      <c r="A77" s="7" t="s">
        <v>28</v>
      </c>
      <c r="B77" s="7" t="s">
        <v>27</v>
      </c>
      <c r="C77" s="7">
        <v>28</v>
      </c>
      <c r="D77" s="7" t="s">
        <v>101</v>
      </c>
      <c r="E77" s="7" t="s">
        <v>29</v>
      </c>
      <c r="F77" s="15" t="b">
        <f>FALSE()</f>
        <v>0</v>
      </c>
      <c r="G77" s="7" t="s">
        <v>110</v>
      </c>
      <c r="H77" s="7" t="str">
        <f t="shared" si="1"/>
        <v>claude|with_guideline|28</v>
      </c>
    </row>
    <row r="78" spans="1:8" x14ac:dyDescent="0.2">
      <c r="A78" s="7" t="s">
        <v>28</v>
      </c>
      <c r="B78" s="7" t="s">
        <v>27</v>
      </c>
      <c r="C78" s="7">
        <v>29</v>
      </c>
      <c r="D78" s="7" t="s">
        <v>101</v>
      </c>
      <c r="E78" s="7" t="s">
        <v>29</v>
      </c>
      <c r="F78" s="15" t="b">
        <f>FALSE()</f>
        <v>0</v>
      </c>
      <c r="G78" s="7" t="s">
        <v>111</v>
      </c>
      <c r="H78" s="7" t="str">
        <f t="shared" si="1"/>
        <v>claude|with_guideline|29</v>
      </c>
    </row>
    <row r="79" spans="1:8" x14ac:dyDescent="0.2">
      <c r="A79" s="7" t="s">
        <v>28</v>
      </c>
      <c r="B79" s="7" t="s">
        <v>27</v>
      </c>
      <c r="C79" s="7">
        <v>31</v>
      </c>
      <c r="D79" s="7" t="s">
        <v>92</v>
      </c>
      <c r="E79" s="7" t="s">
        <v>29</v>
      </c>
      <c r="F79" s="15" t="b">
        <f>FALSE()</f>
        <v>0</v>
      </c>
      <c r="G79" s="7" t="s">
        <v>112</v>
      </c>
      <c r="H79" s="7" t="str">
        <f t="shared" si="1"/>
        <v>claude|with_guideline|31</v>
      </c>
    </row>
    <row r="80" spans="1:8" x14ac:dyDescent="0.2">
      <c r="A80" s="7" t="s">
        <v>28</v>
      </c>
      <c r="B80" s="7" t="s">
        <v>27</v>
      </c>
      <c r="C80" s="7">
        <v>32</v>
      </c>
      <c r="D80" s="7" t="s">
        <v>92</v>
      </c>
      <c r="E80" s="7" t="s">
        <v>29</v>
      </c>
      <c r="F80" s="15" t="b">
        <f>FALSE()</f>
        <v>0</v>
      </c>
      <c r="G80" s="7" t="s">
        <v>113</v>
      </c>
      <c r="H80" s="7" t="str">
        <f t="shared" si="1"/>
        <v>claude|with_guideline|32</v>
      </c>
    </row>
    <row r="81" spans="1:8" x14ac:dyDescent="0.2">
      <c r="A81" s="7" t="s">
        <v>28</v>
      </c>
      <c r="B81" s="7" t="s">
        <v>27</v>
      </c>
      <c r="C81" s="7">
        <v>41</v>
      </c>
      <c r="D81" s="7" t="s">
        <v>94</v>
      </c>
      <c r="E81" s="7" t="s">
        <v>29</v>
      </c>
      <c r="F81" s="15" t="b">
        <f>FALSE()</f>
        <v>0</v>
      </c>
      <c r="G81" s="7" t="s">
        <v>114</v>
      </c>
      <c r="H81" s="7" t="str">
        <f t="shared" si="1"/>
        <v>claude|with_guideline|41</v>
      </c>
    </row>
    <row r="82" spans="1:8" x14ac:dyDescent="0.2">
      <c r="A82" s="7" t="s">
        <v>30</v>
      </c>
      <c r="B82" s="7" t="s">
        <v>9</v>
      </c>
      <c r="C82" s="7">
        <v>1</v>
      </c>
      <c r="D82" s="7" t="s">
        <v>92</v>
      </c>
      <c r="E82" s="7" t="s">
        <v>92</v>
      </c>
      <c r="F82" s="14" t="b">
        <f>TRUE()</f>
        <v>1</v>
      </c>
      <c r="G82" s="7" t="s">
        <v>93</v>
      </c>
      <c r="H82" s="7" t="str">
        <f t="shared" si="1"/>
        <v>gemini|no_guideline|1</v>
      </c>
    </row>
    <row r="83" spans="1:8" x14ac:dyDescent="0.2">
      <c r="A83" s="7" t="s">
        <v>30</v>
      </c>
      <c r="B83" s="7" t="s">
        <v>9</v>
      </c>
      <c r="C83" s="7">
        <v>2</v>
      </c>
      <c r="D83" s="7" t="s">
        <v>92</v>
      </c>
      <c r="E83" s="7" t="s">
        <v>94</v>
      </c>
      <c r="F83" s="15" t="b">
        <f>FALSE()</f>
        <v>0</v>
      </c>
      <c r="G83" s="7" t="s">
        <v>95</v>
      </c>
      <c r="H83" s="7" t="str">
        <f t="shared" si="1"/>
        <v>gemini|no_guideline|2</v>
      </c>
    </row>
    <row r="84" spans="1:8" x14ac:dyDescent="0.2">
      <c r="A84" s="7" t="s">
        <v>30</v>
      </c>
      <c r="B84" s="7" t="s">
        <v>9</v>
      </c>
      <c r="C84" s="7">
        <v>3</v>
      </c>
      <c r="D84" s="7" t="s">
        <v>92</v>
      </c>
      <c r="E84" s="7" t="s">
        <v>92</v>
      </c>
      <c r="F84" s="14" t="b">
        <f>TRUE()</f>
        <v>1</v>
      </c>
      <c r="G84" s="7" t="s">
        <v>96</v>
      </c>
      <c r="H84" s="7" t="str">
        <f t="shared" si="1"/>
        <v>gemini|no_guideline|3</v>
      </c>
    </row>
    <row r="85" spans="1:8" x14ac:dyDescent="0.2">
      <c r="A85" s="7" t="s">
        <v>30</v>
      </c>
      <c r="B85" s="7" t="s">
        <v>9</v>
      </c>
      <c r="C85" s="7">
        <v>4</v>
      </c>
      <c r="D85" s="7" t="s">
        <v>94</v>
      </c>
      <c r="E85" s="7" t="s">
        <v>94</v>
      </c>
      <c r="F85" s="14" t="b">
        <f>TRUE()</f>
        <v>1</v>
      </c>
      <c r="G85" s="7" t="s">
        <v>97</v>
      </c>
      <c r="H85" s="7" t="str">
        <f t="shared" si="1"/>
        <v>gemini|no_guideline|4</v>
      </c>
    </row>
    <row r="86" spans="1:8" x14ac:dyDescent="0.2">
      <c r="A86" s="7" t="s">
        <v>30</v>
      </c>
      <c r="B86" s="7" t="s">
        <v>9</v>
      </c>
      <c r="C86" s="7">
        <v>11</v>
      </c>
      <c r="D86" s="7" t="s">
        <v>92</v>
      </c>
      <c r="E86" s="7" t="s">
        <v>92</v>
      </c>
      <c r="F86" s="14" t="b">
        <f>TRUE()</f>
        <v>1</v>
      </c>
      <c r="G86" s="7" t="s">
        <v>98</v>
      </c>
      <c r="H86" s="7" t="str">
        <f t="shared" si="1"/>
        <v>gemini|no_guideline|11</v>
      </c>
    </row>
    <row r="87" spans="1:8" x14ac:dyDescent="0.2">
      <c r="A87" s="7" t="s">
        <v>30</v>
      </c>
      <c r="B87" s="7" t="s">
        <v>9</v>
      </c>
      <c r="C87" s="7">
        <v>12</v>
      </c>
      <c r="D87" s="7" t="s">
        <v>94</v>
      </c>
      <c r="E87" s="7" t="s">
        <v>94</v>
      </c>
      <c r="F87" s="14" t="b">
        <f>TRUE()</f>
        <v>1</v>
      </c>
      <c r="G87" s="7" t="s">
        <v>99</v>
      </c>
      <c r="H87" s="7" t="str">
        <f t="shared" si="1"/>
        <v>gemini|no_guideline|12</v>
      </c>
    </row>
    <row r="88" spans="1:8" x14ac:dyDescent="0.2">
      <c r="A88" s="7" t="s">
        <v>30</v>
      </c>
      <c r="B88" s="7" t="s">
        <v>9</v>
      </c>
      <c r="C88" s="7">
        <v>13</v>
      </c>
      <c r="D88" s="7" t="s">
        <v>94</v>
      </c>
      <c r="E88" s="7" t="s">
        <v>94</v>
      </c>
      <c r="F88" s="14" t="b">
        <f>TRUE()</f>
        <v>1</v>
      </c>
      <c r="G88" s="7" t="s">
        <v>100</v>
      </c>
      <c r="H88" s="7" t="str">
        <f t="shared" si="1"/>
        <v>gemini|no_guideline|13</v>
      </c>
    </row>
    <row r="89" spans="1:8" x14ac:dyDescent="0.2">
      <c r="A89" s="7" t="s">
        <v>30</v>
      </c>
      <c r="B89" s="7" t="s">
        <v>9</v>
      </c>
      <c r="C89" s="7">
        <v>14</v>
      </c>
      <c r="D89" s="7" t="s">
        <v>101</v>
      </c>
      <c r="E89" s="7" t="s">
        <v>92</v>
      </c>
      <c r="F89" s="15" t="b">
        <f>FALSE()</f>
        <v>0</v>
      </c>
      <c r="G89" s="7" t="s">
        <v>102</v>
      </c>
      <c r="H89" s="7" t="str">
        <f t="shared" si="1"/>
        <v>gemini|no_guideline|14</v>
      </c>
    </row>
    <row r="90" spans="1:8" x14ac:dyDescent="0.2">
      <c r="A90" s="7" t="s">
        <v>30</v>
      </c>
      <c r="B90" s="7" t="s">
        <v>9</v>
      </c>
      <c r="C90" s="7">
        <v>21</v>
      </c>
      <c r="D90" s="7" t="s">
        <v>92</v>
      </c>
      <c r="E90" s="7" t="s">
        <v>101</v>
      </c>
      <c r="F90" s="15" t="b">
        <f>FALSE()</f>
        <v>0</v>
      </c>
      <c r="G90" s="7" t="s">
        <v>103</v>
      </c>
      <c r="H90" s="7" t="str">
        <f t="shared" si="1"/>
        <v>gemini|no_guideline|21</v>
      </c>
    </row>
    <row r="91" spans="1:8" x14ac:dyDescent="0.2">
      <c r="A91" s="7" t="s">
        <v>30</v>
      </c>
      <c r="B91" s="7" t="s">
        <v>9</v>
      </c>
      <c r="C91" s="7">
        <v>22</v>
      </c>
      <c r="D91" s="7" t="s">
        <v>101</v>
      </c>
      <c r="E91" s="7" t="s">
        <v>101</v>
      </c>
      <c r="F91" s="14" t="b">
        <f>TRUE()</f>
        <v>1</v>
      </c>
      <c r="G91" s="7" t="s">
        <v>104</v>
      </c>
      <c r="H91" s="7" t="str">
        <f t="shared" si="1"/>
        <v>gemini|no_guideline|22</v>
      </c>
    </row>
    <row r="92" spans="1:8" x14ac:dyDescent="0.2">
      <c r="A92" s="7" t="s">
        <v>30</v>
      </c>
      <c r="B92" s="7" t="s">
        <v>9</v>
      </c>
      <c r="C92" s="7">
        <v>23</v>
      </c>
      <c r="D92" s="7" t="s">
        <v>101</v>
      </c>
      <c r="E92" s="7" t="s">
        <v>101</v>
      </c>
      <c r="F92" s="14" t="b">
        <f>TRUE()</f>
        <v>1</v>
      </c>
      <c r="G92" s="7" t="s">
        <v>105</v>
      </c>
      <c r="H92" s="7" t="str">
        <f t="shared" si="1"/>
        <v>gemini|no_guideline|23</v>
      </c>
    </row>
    <row r="93" spans="1:8" x14ac:dyDescent="0.2">
      <c r="A93" s="7" t="s">
        <v>30</v>
      </c>
      <c r="B93" s="7" t="s">
        <v>9</v>
      </c>
      <c r="C93" s="7">
        <v>24</v>
      </c>
      <c r="D93" s="7" t="s">
        <v>101</v>
      </c>
      <c r="E93" s="7" t="s">
        <v>101</v>
      </c>
      <c r="F93" s="14" t="b">
        <f>TRUE()</f>
        <v>1</v>
      </c>
      <c r="G93" s="7" t="s">
        <v>106</v>
      </c>
      <c r="H93" s="7" t="str">
        <f t="shared" si="1"/>
        <v>gemini|no_guideline|24</v>
      </c>
    </row>
    <row r="94" spans="1:8" x14ac:dyDescent="0.2">
      <c r="A94" s="7" t="s">
        <v>30</v>
      </c>
      <c r="B94" s="7" t="s">
        <v>9</v>
      </c>
      <c r="C94" s="7">
        <v>25</v>
      </c>
      <c r="D94" s="7" t="s">
        <v>101</v>
      </c>
      <c r="E94" s="7" t="s">
        <v>101</v>
      </c>
      <c r="F94" s="14" t="b">
        <f>TRUE()</f>
        <v>1</v>
      </c>
      <c r="G94" s="7" t="s">
        <v>107</v>
      </c>
      <c r="H94" s="7" t="str">
        <f t="shared" si="1"/>
        <v>gemini|no_guideline|25</v>
      </c>
    </row>
    <row r="95" spans="1:8" x14ac:dyDescent="0.2">
      <c r="A95" s="7" t="s">
        <v>30</v>
      </c>
      <c r="B95" s="7" t="s">
        <v>9</v>
      </c>
      <c r="C95" s="7">
        <v>26</v>
      </c>
      <c r="D95" s="7" t="s">
        <v>101</v>
      </c>
      <c r="E95" s="7" t="s">
        <v>101</v>
      </c>
      <c r="F95" s="14" t="b">
        <f>TRUE()</f>
        <v>1</v>
      </c>
      <c r="G95" s="7" t="s">
        <v>108</v>
      </c>
      <c r="H95" s="7" t="str">
        <f t="shared" si="1"/>
        <v>gemini|no_guideline|26</v>
      </c>
    </row>
    <row r="96" spans="1:8" x14ac:dyDescent="0.2">
      <c r="A96" s="7" t="s">
        <v>30</v>
      </c>
      <c r="B96" s="7" t="s">
        <v>9</v>
      </c>
      <c r="C96" s="7">
        <v>27</v>
      </c>
      <c r="D96" s="7" t="s">
        <v>101</v>
      </c>
      <c r="E96" s="7" t="s">
        <v>101</v>
      </c>
      <c r="F96" s="14" t="b">
        <f>TRUE()</f>
        <v>1</v>
      </c>
      <c r="G96" s="7" t="s">
        <v>109</v>
      </c>
      <c r="H96" s="7" t="str">
        <f t="shared" si="1"/>
        <v>gemini|no_guideline|27</v>
      </c>
    </row>
    <row r="97" spans="1:8" x14ac:dyDescent="0.2">
      <c r="A97" s="7" t="s">
        <v>30</v>
      </c>
      <c r="B97" s="7" t="s">
        <v>9</v>
      </c>
      <c r="C97" s="7">
        <v>28</v>
      </c>
      <c r="D97" s="7" t="s">
        <v>101</v>
      </c>
      <c r="E97" s="7" t="s">
        <v>101</v>
      </c>
      <c r="F97" s="14" t="b">
        <f>TRUE()</f>
        <v>1</v>
      </c>
      <c r="G97" s="7" t="s">
        <v>110</v>
      </c>
      <c r="H97" s="7" t="str">
        <f t="shared" si="1"/>
        <v>gemini|no_guideline|28</v>
      </c>
    </row>
    <row r="98" spans="1:8" x14ac:dyDescent="0.2">
      <c r="A98" s="7" t="s">
        <v>30</v>
      </c>
      <c r="B98" s="7" t="s">
        <v>9</v>
      </c>
      <c r="C98" s="7">
        <v>29</v>
      </c>
      <c r="D98" s="7" t="s">
        <v>101</v>
      </c>
      <c r="E98" s="7" t="s">
        <v>101</v>
      </c>
      <c r="F98" s="14" t="b">
        <f>TRUE()</f>
        <v>1</v>
      </c>
      <c r="G98" s="7" t="s">
        <v>111</v>
      </c>
      <c r="H98" s="7" t="str">
        <f t="shared" si="1"/>
        <v>gemini|no_guideline|29</v>
      </c>
    </row>
    <row r="99" spans="1:8" x14ac:dyDescent="0.2">
      <c r="A99" s="7" t="s">
        <v>30</v>
      </c>
      <c r="B99" s="7" t="s">
        <v>9</v>
      </c>
      <c r="C99" s="7">
        <v>31</v>
      </c>
      <c r="D99" s="7" t="s">
        <v>92</v>
      </c>
      <c r="E99" s="7" t="s">
        <v>101</v>
      </c>
      <c r="F99" s="15" t="b">
        <f>FALSE()</f>
        <v>0</v>
      </c>
      <c r="G99" s="7" t="s">
        <v>112</v>
      </c>
      <c r="H99" s="7" t="str">
        <f t="shared" si="1"/>
        <v>gemini|no_guideline|31</v>
      </c>
    </row>
    <row r="100" spans="1:8" x14ac:dyDescent="0.2">
      <c r="A100" s="7" t="s">
        <v>30</v>
      </c>
      <c r="B100" s="7" t="s">
        <v>9</v>
      </c>
      <c r="C100" s="7">
        <v>32</v>
      </c>
      <c r="D100" s="7" t="s">
        <v>92</v>
      </c>
      <c r="E100" s="7" t="s">
        <v>92</v>
      </c>
      <c r="F100" s="14" t="b">
        <f>TRUE()</f>
        <v>1</v>
      </c>
      <c r="G100" s="7" t="s">
        <v>113</v>
      </c>
      <c r="H100" s="7" t="str">
        <f t="shared" si="1"/>
        <v>gemini|no_guideline|32</v>
      </c>
    </row>
    <row r="101" spans="1:8" x14ac:dyDescent="0.2">
      <c r="A101" s="7" t="s">
        <v>30</v>
      </c>
      <c r="B101" s="7" t="s">
        <v>9</v>
      </c>
      <c r="C101" s="7">
        <v>41</v>
      </c>
      <c r="D101" s="7" t="s">
        <v>94</v>
      </c>
      <c r="E101" s="7" t="s">
        <v>94</v>
      </c>
      <c r="F101" s="14" t="b">
        <f>TRUE()</f>
        <v>1</v>
      </c>
      <c r="G101" s="7" t="s">
        <v>114</v>
      </c>
      <c r="H101" s="7" t="str">
        <f t="shared" si="1"/>
        <v>gemini|no_guideline|41</v>
      </c>
    </row>
    <row r="102" spans="1:8" x14ac:dyDescent="0.2">
      <c r="A102" s="7" t="s">
        <v>30</v>
      </c>
      <c r="B102" s="7" t="s">
        <v>27</v>
      </c>
      <c r="C102" s="7">
        <v>1</v>
      </c>
      <c r="D102" s="7" t="s">
        <v>92</v>
      </c>
      <c r="E102" s="7" t="s">
        <v>92</v>
      </c>
      <c r="F102" s="14" t="b">
        <f>TRUE()</f>
        <v>1</v>
      </c>
      <c r="G102" s="7" t="s">
        <v>93</v>
      </c>
      <c r="H102" s="7" t="str">
        <f t="shared" si="1"/>
        <v>gemini|with_guideline|1</v>
      </c>
    </row>
    <row r="103" spans="1:8" x14ac:dyDescent="0.2">
      <c r="A103" s="7" t="s">
        <v>30</v>
      </c>
      <c r="B103" s="7" t="s">
        <v>27</v>
      </c>
      <c r="C103" s="7">
        <v>2</v>
      </c>
      <c r="D103" s="7" t="s">
        <v>92</v>
      </c>
      <c r="E103" s="7" t="s">
        <v>92</v>
      </c>
      <c r="F103" s="14" t="b">
        <f>TRUE()</f>
        <v>1</v>
      </c>
      <c r="G103" s="7" t="s">
        <v>95</v>
      </c>
      <c r="H103" s="7" t="str">
        <f t="shared" si="1"/>
        <v>gemini|with_guideline|2</v>
      </c>
    </row>
    <row r="104" spans="1:8" x14ac:dyDescent="0.2">
      <c r="A104" s="7" t="s">
        <v>30</v>
      </c>
      <c r="B104" s="7" t="s">
        <v>27</v>
      </c>
      <c r="C104" s="7">
        <v>3</v>
      </c>
      <c r="D104" s="7" t="s">
        <v>92</v>
      </c>
      <c r="E104" s="7" t="s">
        <v>92</v>
      </c>
      <c r="F104" s="14" t="b">
        <f>TRUE()</f>
        <v>1</v>
      </c>
      <c r="G104" s="7" t="s">
        <v>96</v>
      </c>
      <c r="H104" s="7" t="str">
        <f t="shared" si="1"/>
        <v>gemini|with_guideline|3</v>
      </c>
    </row>
    <row r="105" spans="1:8" x14ac:dyDescent="0.2">
      <c r="A105" s="7" t="s">
        <v>30</v>
      </c>
      <c r="B105" s="7" t="s">
        <v>27</v>
      </c>
      <c r="C105" s="7">
        <v>4</v>
      </c>
      <c r="D105" s="7" t="s">
        <v>94</v>
      </c>
      <c r="E105" s="7" t="s">
        <v>94</v>
      </c>
      <c r="F105" s="14" t="b">
        <f>TRUE()</f>
        <v>1</v>
      </c>
      <c r="G105" s="7" t="s">
        <v>97</v>
      </c>
      <c r="H105" s="7" t="str">
        <f t="shared" si="1"/>
        <v>gemini|with_guideline|4</v>
      </c>
    </row>
    <row r="106" spans="1:8" x14ac:dyDescent="0.2">
      <c r="A106" s="7" t="s">
        <v>30</v>
      </c>
      <c r="B106" s="7" t="s">
        <v>27</v>
      </c>
      <c r="C106" s="7">
        <v>11</v>
      </c>
      <c r="D106" s="7" t="s">
        <v>92</v>
      </c>
      <c r="E106" s="7" t="s">
        <v>92</v>
      </c>
      <c r="F106" s="14" t="b">
        <f>TRUE()</f>
        <v>1</v>
      </c>
      <c r="G106" s="7" t="s">
        <v>98</v>
      </c>
      <c r="H106" s="7" t="str">
        <f t="shared" si="1"/>
        <v>gemini|with_guideline|11</v>
      </c>
    </row>
    <row r="107" spans="1:8" x14ac:dyDescent="0.2">
      <c r="A107" s="7" t="s">
        <v>30</v>
      </c>
      <c r="B107" s="7" t="s">
        <v>27</v>
      </c>
      <c r="C107" s="7">
        <v>12</v>
      </c>
      <c r="D107" s="7" t="s">
        <v>94</v>
      </c>
      <c r="E107" s="7" t="s">
        <v>94</v>
      </c>
      <c r="F107" s="14" t="b">
        <f>TRUE()</f>
        <v>1</v>
      </c>
      <c r="G107" s="7" t="s">
        <v>99</v>
      </c>
      <c r="H107" s="7" t="str">
        <f t="shared" si="1"/>
        <v>gemini|with_guideline|12</v>
      </c>
    </row>
    <row r="108" spans="1:8" x14ac:dyDescent="0.2">
      <c r="A108" s="7" t="s">
        <v>30</v>
      </c>
      <c r="B108" s="7" t="s">
        <v>27</v>
      </c>
      <c r="C108" s="7">
        <v>13</v>
      </c>
      <c r="D108" s="7" t="s">
        <v>94</v>
      </c>
      <c r="E108" s="7" t="s">
        <v>94</v>
      </c>
      <c r="F108" s="14" t="b">
        <f>TRUE()</f>
        <v>1</v>
      </c>
      <c r="G108" s="7" t="s">
        <v>100</v>
      </c>
      <c r="H108" s="7" t="str">
        <f t="shared" si="1"/>
        <v>gemini|with_guideline|13</v>
      </c>
    </row>
    <row r="109" spans="1:8" x14ac:dyDescent="0.2">
      <c r="A109" s="7" t="s">
        <v>30</v>
      </c>
      <c r="B109" s="7" t="s">
        <v>27</v>
      </c>
      <c r="C109" s="7">
        <v>14</v>
      </c>
      <c r="D109" s="7" t="s">
        <v>101</v>
      </c>
      <c r="E109" s="7" t="s">
        <v>94</v>
      </c>
      <c r="F109" s="15" t="b">
        <f>FALSE()</f>
        <v>0</v>
      </c>
      <c r="G109" s="7" t="s">
        <v>102</v>
      </c>
      <c r="H109" s="7" t="str">
        <f t="shared" si="1"/>
        <v>gemini|with_guideline|14</v>
      </c>
    </row>
    <row r="110" spans="1:8" x14ac:dyDescent="0.2">
      <c r="A110" s="7" t="s">
        <v>30</v>
      </c>
      <c r="B110" s="7" t="s">
        <v>27</v>
      </c>
      <c r="C110" s="7">
        <v>21</v>
      </c>
      <c r="D110" s="7" t="s">
        <v>92</v>
      </c>
      <c r="E110" s="7" t="s">
        <v>94</v>
      </c>
      <c r="F110" s="15" t="b">
        <f>FALSE()</f>
        <v>0</v>
      </c>
      <c r="G110" s="7" t="s">
        <v>103</v>
      </c>
      <c r="H110" s="7" t="str">
        <f t="shared" si="1"/>
        <v>gemini|with_guideline|21</v>
      </c>
    </row>
    <row r="111" spans="1:8" x14ac:dyDescent="0.2">
      <c r="A111" s="7" t="s">
        <v>30</v>
      </c>
      <c r="B111" s="7" t="s">
        <v>27</v>
      </c>
      <c r="C111" s="7">
        <v>22</v>
      </c>
      <c r="D111" s="7" t="s">
        <v>101</v>
      </c>
      <c r="E111" s="7" t="s">
        <v>101</v>
      </c>
      <c r="F111" s="14" t="b">
        <f>TRUE()</f>
        <v>1</v>
      </c>
      <c r="G111" s="7" t="s">
        <v>104</v>
      </c>
      <c r="H111" s="7" t="str">
        <f t="shared" si="1"/>
        <v>gemini|with_guideline|22</v>
      </c>
    </row>
    <row r="112" spans="1:8" x14ac:dyDescent="0.2">
      <c r="A112" s="7" t="s">
        <v>30</v>
      </c>
      <c r="B112" s="7" t="s">
        <v>27</v>
      </c>
      <c r="C112" s="7">
        <v>23</v>
      </c>
      <c r="D112" s="7" t="s">
        <v>101</v>
      </c>
      <c r="E112" s="7" t="s">
        <v>101</v>
      </c>
      <c r="F112" s="14" t="b">
        <f>TRUE()</f>
        <v>1</v>
      </c>
      <c r="G112" s="7" t="s">
        <v>105</v>
      </c>
      <c r="H112" s="7" t="str">
        <f t="shared" si="1"/>
        <v>gemini|with_guideline|23</v>
      </c>
    </row>
    <row r="113" spans="1:8" x14ac:dyDescent="0.2">
      <c r="A113" s="7" t="s">
        <v>30</v>
      </c>
      <c r="B113" s="7" t="s">
        <v>27</v>
      </c>
      <c r="C113" s="7">
        <v>24</v>
      </c>
      <c r="D113" s="7" t="s">
        <v>101</v>
      </c>
      <c r="E113" s="7" t="s">
        <v>101</v>
      </c>
      <c r="F113" s="14" t="b">
        <f>TRUE()</f>
        <v>1</v>
      </c>
      <c r="G113" s="7" t="s">
        <v>106</v>
      </c>
      <c r="H113" s="7" t="str">
        <f t="shared" si="1"/>
        <v>gemini|with_guideline|24</v>
      </c>
    </row>
    <row r="114" spans="1:8" x14ac:dyDescent="0.2">
      <c r="A114" s="7" t="s">
        <v>30</v>
      </c>
      <c r="B114" s="7" t="s">
        <v>27</v>
      </c>
      <c r="C114" s="7">
        <v>25</v>
      </c>
      <c r="D114" s="7" t="s">
        <v>101</v>
      </c>
      <c r="E114" s="7" t="s">
        <v>94</v>
      </c>
      <c r="F114" s="15" t="b">
        <f>FALSE()</f>
        <v>0</v>
      </c>
      <c r="G114" s="7" t="s">
        <v>107</v>
      </c>
      <c r="H114" s="7" t="str">
        <f t="shared" si="1"/>
        <v>gemini|with_guideline|25</v>
      </c>
    </row>
    <row r="115" spans="1:8" x14ac:dyDescent="0.2">
      <c r="A115" s="7" t="s">
        <v>30</v>
      </c>
      <c r="B115" s="7" t="s">
        <v>27</v>
      </c>
      <c r="C115" s="7">
        <v>26</v>
      </c>
      <c r="D115" s="7" t="s">
        <v>101</v>
      </c>
      <c r="E115" s="7" t="s">
        <v>94</v>
      </c>
      <c r="F115" s="15" t="b">
        <f>FALSE()</f>
        <v>0</v>
      </c>
      <c r="G115" s="7" t="s">
        <v>108</v>
      </c>
      <c r="H115" s="7" t="str">
        <f t="shared" si="1"/>
        <v>gemini|with_guideline|26</v>
      </c>
    </row>
    <row r="116" spans="1:8" x14ac:dyDescent="0.2">
      <c r="A116" s="7" t="s">
        <v>30</v>
      </c>
      <c r="B116" s="7" t="s">
        <v>27</v>
      </c>
      <c r="C116" s="7">
        <v>27</v>
      </c>
      <c r="D116" s="7" t="s">
        <v>101</v>
      </c>
      <c r="E116" s="7" t="s">
        <v>101</v>
      </c>
      <c r="F116" s="14" t="b">
        <f>TRUE()</f>
        <v>1</v>
      </c>
      <c r="G116" s="7" t="s">
        <v>115</v>
      </c>
      <c r="H116" s="7" t="str">
        <f t="shared" si="1"/>
        <v>gemini|with_guideline|27</v>
      </c>
    </row>
    <row r="117" spans="1:8" x14ac:dyDescent="0.2">
      <c r="A117" s="7" t="s">
        <v>30</v>
      </c>
      <c r="B117" s="7" t="s">
        <v>27</v>
      </c>
      <c r="C117" s="7">
        <v>28</v>
      </c>
      <c r="D117" s="7" t="s">
        <v>101</v>
      </c>
      <c r="E117" s="7" t="s">
        <v>101</v>
      </c>
      <c r="F117" s="14" t="b">
        <f>TRUE()</f>
        <v>1</v>
      </c>
      <c r="G117" s="7" t="s">
        <v>110</v>
      </c>
      <c r="H117" s="7" t="str">
        <f t="shared" si="1"/>
        <v>gemini|with_guideline|28</v>
      </c>
    </row>
    <row r="118" spans="1:8" x14ac:dyDescent="0.2">
      <c r="A118" s="7" t="s">
        <v>30</v>
      </c>
      <c r="B118" s="7" t="s">
        <v>27</v>
      </c>
      <c r="C118" s="7">
        <v>29</v>
      </c>
      <c r="D118" s="7" t="s">
        <v>101</v>
      </c>
      <c r="E118" s="7" t="s">
        <v>94</v>
      </c>
      <c r="F118" s="15" t="b">
        <f>FALSE()</f>
        <v>0</v>
      </c>
      <c r="G118" s="7" t="s">
        <v>111</v>
      </c>
      <c r="H118" s="7" t="str">
        <f t="shared" si="1"/>
        <v>gemini|with_guideline|29</v>
      </c>
    </row>
    <row r="119" spans="1:8" x14ac:dyDescent="0.2">
      <c r="A119" s="7" t="s">
        <v>30</v>
      </c>
      <c r="B119" s="7" t="s">
        <v>27</v>
      </c>
      <c r="C119" s="7">
        <v>31</v>
      </c>
      <c r="D119" s="7" t="s">
        <v>92</v>
      </c>
      <c r="E119" s="7" t="s">
        <v>94</v>
      </c>
      <c r="F119" s="15" t="b">
        <f>FALSE()</f>
        <v>0</v>
      </c>
      <c r="G119" s="7" t="s">
        <v>112</v>
      </c>
      <c r="H119" s="7" t="str">
        <f t="shared" si="1"/>
        <v>gemini|with_guideline|31</v>
      </c>
    </row>
    <row r="120" spans="1:8" x14ac:dyDescent="0.2">
      <c r="A120" s="7" t="s">
        <v>30</v>
      </c>
      <c r="B120" s="7" t="s">
        <v>27</v>
      </c>
      <c r="C120" s="7">
        <v>32</v>
      </c>
      <c r="D120" s="7" t="s">
        <v>92</v>
      </c>
      <c r="E120" s="7" t="s">
        <v>92</v>
      </c>
      <c r="F120" s="14" t="b">
        <f>TRUE()</f>
        <v>1</v>
      </c>
      <c r="G120" s="7" t="s">
        <v>113</v>
      </c>
      <c r="H120" s="7" t="str">
        <f t="shared" si="1"/>
        <v>gemini|with_guideline|32</v>
      </c>
    </row>
    <row r="121" spans="1:8" x14ac:dyDescent="0.2">
      <c r="A121" s="7" t="s">
        <v>30</v>
      </c>
      <c r="B121" s="7" t="s">
        <v>27</v>
      </c>
      <c r="C121" s="7">
        <v>41</v>
      </c>
      <c r="D121" s="7" t="s">
        <v>94</v>
      </c>
      <c r="E121" s="7" t="s">
        <v>94</v>
      </c>
      <c r="F121" s="14" t="b">
        <f>TRUE()</f>
        <v>1</v>
      </c>
      <c r="G121" s="7" t="s">
        <v>114</v>
      </c>
      <c r="H121" s="7" t="str">
        <f t="shared" si="1"/>
        <v>gemini|with_guideline|41</v>
      </c>
    </row>
    <row r="122" spans="1:8" x14ac:dyDescent="0.2">
      <c r="A122" s="7" t="s">
        <v>31</v>
      </c>
      <c r="B122" s="7" t="s">
        <v>9</v>
      </c>
      <c r="C122" s="7">
        <v>1</v>
      </c>
      <c r="D122" s="7" t="s">
        <v>92</v>
      </c>
      <c r="E122" s="7" t="s">
        <v>29</v>
      </c>
      <c r="F122" s="15" t="b">
        <f>FALSE()</f>
        <v>0</v>
      </c>
      <c r="G122" s="7" t="s">
        <v>93</v>
      </c>
      <c r="H122" s="7" t="str">
        <f t="shared" si="1"/>
        <v>llama|no_guideline|1</v>
      </c>
    </row>
    <row r="123" spans="1:8" x14ac:dyDescent="0.2">
      <c r="A123" s="7" t="s">
        <v>31</v>
      </c>
      <c r="B123" s="7" t="s">
        <v>9</v>
      </c>
      <c r="C123" s="7">
        <v>2</v>
      </c>
      <c r="D123" s="7" t="s">
        <v>92</v>
      </c>
      <c r="E123" s="7" t="s">
        <v>94</v>
      </c>
      <c r="F123" s="15" t="b">
        <f>FALSE()</f>
        <v>0</v>
      </c>
      <c r="G123" s="7" t="s">
        <v>95</v>
      </c>
      <c r="H123" s="7" t="str">
        <f t="shared" si="1"/>
        <v>llama|no_guideline|2</v>
      </c>
    </row>
    <row r="124" spans="1:8" x14ac:dyDescent="0.2">
      <c r="A124" s="7" t="s">
        <v>31</v>
      </c>
      <c r="B124" s="7" t="s">
        <v>9</v>
      </c>
      <c r="C124" s="7">
        <v>3</v>
      </c>
      <c r="D124" s="7" t="s">
        <v>92</v>
      </c>
      <c r="E124" s="7" t="s">
        <v>29</v>
      </c>
      <c r="F124" s="15" t="b">
        <f>FALSE()</f>
        <v>0</v>
      </c>
      <c r="G124" s="7" t="s">
        <v>96</v>
      </c>
      <c r="H124" s="7" t="str">
        <f t="shared" si="1"/>
        <v>llama|no_guideline|3</v>
      </c>
    </row>
    <row r="125" spans="1:8" x14ac:dyDescent="0.2">
      <c r="A125" s="7" t="s">
        <v>31</v>
      </c>
      <c r="B125" s="7" t="s">
        <v>9</v>
      </c>
      <c r="C125" s="7">
        <v>4</v>
      </c>
      <c r="D125" s="7" t="s">
        <v>94</v>
      </c>
      <c r="E125" s="7" t="s">
        <v>29</v>
      </c>
      <c r="F125" s="15" t="b">
        <f>FALSE()</f>
        <v>0</v>
      </c>
      <c r="G125" s="7" t="s">
        <v>97</v>
      </c>
      <c r="H125" s="7" t="str">
        <f t="shared" si="1"/>
        <v>llama|no_guideline|4</v>
      </c>
    </row>
    <row r="126" spans="1:8" x14ac:dyDescent="0.2">
      <c r="A126" s="7" t="s">
        <v>31</v>
      </c>
      <c r="B126" s="7" t="s">
        <v>9</v>
      </c>
      <c r="C126" s="7">
        <v>11</v>
      </c>
      <c r="D126" s="7" t="s">
        <v>92</v>
      </c>
      <c r="E126" s="7" t="s">
        <v>29</v>
      </c>
      <c r="F126" s="15" t="b">
        <f>FALSE()</f>
        <v>0</v>
      </c>
      <c r="G126" s="7" t="s">
        <v>98</v>
      </c>
      <c r="H126" s="7" t="str">
        <f t="shared" si="1"/>
        <v>llama|no_guideline|11</v>
      </c>
    </row>
    <row r="127" spans="1:8" x14ac:dyDescent="0.2">
      <c r="A127" s="7" t="s">
        <v>31</v>
      </c>
      <c r="B127" s="7" t="s">
        <v>9</v>
      </c>
      <c r="C127" s="7">
        <v>12</v>
      </c>
      <c r="D127" s="7" t="s">
        <v>94</v>
      </c>
      <c r="E127" s="7" t="s">
        <v>29</v>
      </c>
      <c r="F127" s="15" t="b">
        <f>FALSE()</f>
        <v>0</v>
      </c>
      <c r="G127" s="7" t="s">
        <v>99</v>
      </c>
      <c r="H127" s="7" t="str">
        <f t="shared" si="1"/>
        <v>llama|no_guideline|12</v>
      </c>
    </row>
    <row r="128" spans="1:8" x14ac:dyDescent="0.2">
      <c r="A128" s="7" t="s">
        <v>31</v>
      </c>
      <c r="B128" s="7" t="s">
        <v>9</v>
      </c>
      <c r="C128" s="7">
        <v>13</v>
      </c>
      <c r="D128" s="7" t="s">
        <v>94</v>
      </c>
      <c r="E128" s="7" t="s">
        <v>29</v>
      </c>
      <c r="F128" s="15" t="b">
        <f>FALSE()</f>
        <v>0</v>
      </c>
      <c r="G128" s="7" t="s">
        <v>100</v>
      </c>
      <c r="H128" s="7" t="str">
        <f t="shared" si="1"/>
        <v>llama|no_guideline|13</v>
      </c>
    </row>
    <row r="129" spans="1:8" x14ac:dyDescent="0.2">
      <c r="A129" s="7" t="s">
        <v>31</v>
      </c>
      <c r="B129" s="7" t="s">
        <v>9</v>
      </c>
      <c r="C129" s="7">
        <v>14</v>
      </c>
      <c r="D129" s="7" t="s">
        <v>101</v>
      </c>
      <c r="E129" s="7" t="s">
        <v>29</v>
      </c>
      <c r="F129" s="15" t="b">
        <f>FALSE()</f>
        <v>0</v>
      </c>
      <c r="G129" s="7" t="s">
        <v>102</v>
      </c>
      <c r="H129" s="7" t="str">
        <f t="shared" si="1"/>
        <v>llama|no_guideline|14</v>
      </c>
    </row>
    <row r="130" spans="1:8" x14ac:dyDescent="0.2">
      <c r="A130" s="7" t="s">
        <v>31</v>
      </c>
      <c r="B130" s="7" t="s">
        <v>9</v>
      </c>
      <c r="C130" s="7">
        <v>21</v>
      </c>
      <c r="D130" s="7" t="s">
        <v>92</v>
      </c>
      <c r="E130" s="7" t="s">
        <v>29</v>
      </c>
      <c r="F130" s="15" t="b">
        <f>FALSE()</f>
        <v>0</v>
      </c>
      <c r="G130" s="7" t="s">
        <v>103</v>
      </c>
      <c r="H130" s="7" t="str">
        <f t="shared" ref="H130:H161" si="2">A130&amp;"|"&amp;B130&amp;"|"&amp;C130</f>
        <v>llama|no_guideline|21</v>
      </c>
    </row>
    <row r="131" spans="1:8" x14ac:dyDescent="0.2">
      <c r="A131" s="7" t="s">
        <v>31</v>
      </c>
      <c r="B131" s="7" t="s">
        <v>9</v>
      </c>
      <c r="C131" s="7">
        <v>22</v>
      </c>
      <c r="D131" s="7" t="s">
        <v>101</v>
      </c>
      <c r="E131" s="7" t="s">
        <v>29</v>
      </c>
      <c r="F131" s="15" t="b">
        <f>FALSE()</f>
        <v>0</v>
      </c>
      <c r="G131" s="7" t="s">
        <v>104</v>
      </c>
      <c r="H131" s="7" t="str">
        <f t="shared" si="2"/>
        <v>llama|no_guideline|22</v>
      </c>
    </row>
    <row r="132" spans="1:8" x14ac:dyDescent="0.2">
      <c r="A132" s="7" t="s">
        <v>31</v>
      </c>
      <c r="B132" s="7" t="s">
        <v>9</v>
      </c>
      <c r="C132" s="7">
        <v>23</v>
      </c>
      <c r="D132" s="7" t="s">
        <v>101</v>
      </c>
      <c r="E132" s="7" t="s">
        <v>29</v>
      </c>
      <c r="F132" s="15" t="b">
        <f>FALSE()</f>
        <v>0</v>
      </c>
      <c r="G132" s="7" t="s">
        <v>105</v>
      </c>
      <c r="H132" s="7" t="str">
        <f t="shared" si="2"/>
        <v>llama|no_guideline|23</v>
      </c>
    </row>
    <row r="133" spans="1:8" x14ac:dyDescent="0.2">
      <c r="A133" s="7" t="s">
        <v>31</v>
      </c>
      <c r="B133" s="7" t="s">
        <v>9</v>
      </c>
      <c r="C133" s="7">
        <v>24</v>
      </c>
      <c r="D133" s="7" t="s">
        <v>101</v>
      </c>
      <c r="E133" s="7" t="s">
        <v>29</v>
      </c>
      <c r="F133" s="15" t="b">
        <f>FALSE()</f>
        <v>0</v>
      </c>
      <c r="G133" s="7" t="s">
        <v>106</v>
      </c>
      <c r="H133" s="7" t="str">
        <f t="shared" si="2"/>
        <v>llama|no_guideline|24</v>
      </c>
    </row>
    <row r="134" spans="1:8" x14ac:dyDescent="0.2">
      <c r="A134" s="7" t="s">
        <v>31</v>
      </c>
      <c r="B134" s="7" t="s">
        <v>9</v>
      </c>
      <c r="C134" s="7">
        <v>25</v>
      </c>
      <c r="D134" s="7" t="s">
        <v>101</v>
      </c>
      <c r="E134" s="7" t="s">
        <v>29</v>
      </c>
      <c r="F134" s="15" t="b">
        <f>FALSE()</f>
        <v>0</v>
      </c>
      <c r="G134" s="7" t="s">
        <v>107</v>
      </c>
      <c r="H134" s="7" t="str">
        <f t="shared" si="2"/>
        <v>llama|no_guideline|25</v>
      </c>
    </row>
    <row r="135" spans="1:8" x14ac:dyDescent="0.2">
      <c r="A135" s="7" t="s">
        <v>31</v>
      </c>
      <c r="B135" s="7" t="s">
        <v>9</v>
      </c>
      <c r="C135" s="7">
        <v>26</v>
      </c>
      <c r="D135" s="7" t="s">
        <v>101</v>
      </c>
      <c r="E135" s="7" t="s">
        <v>29</v>
      </c>
      <c r="F135" s="15" t="b">
        <f>FALSE()</f>
        <v>0</v>
      </c>
      <c r="G135" s="7" t="s">
        <v>108</v>
      </c>
      <c r="H135" s="7" t="str">
        <f t="shared" si="2"/>
        <v>llama|no_guideline|26</v>
      </c>
    </row>
    <row r="136" spans="1:8" x14ac:dyDescent="0.2">
      <c r="A136" s="7" t="s">
        <v>31</v>
      </c>
      <c r="B136" s="7" t="s">
        <v>9</v>
      </c>
      <c r="C136" s="7">
        <v>27</v>
      </c>
      <c r="D136" s="7" t="s">
        <v>101</v>
      </c>
      <c r="E136" s="7" t="s">
        <v>29</v>
      </c>
      <c r="F136" s="15" t="b">
        <f>FALSE()</f>
        <v>0</v>
      </c>
      <c r="G136" s="7" t="s">
        <v>109</v>
      </c>
      <c r="H136" s="7" t="str">
        <f t="shared" si="2"/>
        <v>llama|no_guideline|27</v>
      </c>
    </row>
    <row r="137" spans="1:8" x14ac:dyDescent="0.2">
      <c r="A137" s="7" t="s">
        <v>31</v>
      </c>
      <c r="B137" s="7" t="s">
        <v>9</v>
      </c>
      <c r="C137" s="7">
        <v>28</v>
      </c>
      <c r="D137" s="7" t="s">
        <v>101</v>
      </c>
      <c r="E137" s="7" t="s">
        <v>29</v>
      </c>
      <c r="F137" s="15" t="b">
        <f>FALSE()</f>
        <v>0</v>
      </c>
      <c r="G137" s="7" t="s">
        <v>110</v>
      </c>
      <c r="H137" s="7" t="str">
        <f t="shared" si="2"/>
        <v>llama|no_guideline|28</v>
      </c>
    </row>
    <row r="138" spans="1:8" x14ac:dyDescent="0.2">
      <c r="A138" s="7" t="s">
        <v>31</v>
      </c>
      <c r="B138" s="7" t="s">
        <v>9</v>
      </c>
      <c r="C138" s="7">
        <v>29</v>
      </c>
      <c r="D138" s="7" t="s">
        <v>101</v>
      </c>
      <c r="E138" s="7" t="s">
        <v>29</v>
      </c>
      <c r="F138" s="15" t="b">
        <f>FALSE()</f>
        <v>0</v>
      </c>
      <c r="G138" s="7" t="s">
        <v>111</v>
      </c>
      <c r="H138" s="7" t="str">
        <f t="shared" si="2"/>
        <v>llama|no_guideline|29</v>
      </c>
    </row>
    <row r="139" spans="1:8" x14ac:dyDescent="0.2">
      <c r="A139" s="7" t="s">
        <v>31</v>
      </c>
      <c r="B139" s="7" t="s">
        <v>9</v>
      </c>
      <c r="C139" s="7">
        <v>31</v>
      </c>
      <c r="D139" s="7" t="s">
        <v>92</v>
      </c>
      <c r="E139" s="7" t="s">
        <v>29</v>
      </c>
      <c r="F139" s="15" t="b">
        <f>FALSE()</f>
        <v>0</v>
      </c>
      <c r="G139" s="7" t="s">
        <v>112</v>
      </c>
      <c r="H139" s="7" t="str">
        <f t="shared" si="2"/>
        <v>llama|no_guideline|31</v>
      </c>
    </row>
    <row r="140" spans="1:8" x14ac:dyDescent="0.2">
      <c r="A140" s="7" t="s">
        <v>31</v>
      </c>
      <c r="B140" s="7" t="s">
        <v>9</v>
      </c>
      <c r="C140" s="7">
        <v>32</v>
      </c>
      <c r="D140" s="7" t="s">
        <v>92</v>
      </c>
      <c r="E140" s="7" t="s">
        <v>29</v>
      </c>
      <c r="F140" s="15" t="b">
        <f>FALSE()</f>
        <v>0</v>
      </c>
      <c r="G140" s="7" t="s">
        <v>113</v>
      </c>
      <c r="H140" s="7" t="str">
        <f t="shared" si="2"/>
        <v>llama|no_guideline|32</v>
      </c>
    </row>
    <row r="141" spans="1:8" x14ac:dyDescent="0.2">
      <c r="A141" s="7" t="s">
        <v>31</v>
      </c>
      <c r="B141" s="7" t="s">
        <v>9</v>
      </c>
      <c r="C141" s="7">
        <v>41</v>
      </c>
      <c r="D141" s="7" t="s">
        <v>94</v>
      </c>
      <c r="E141" s="7" t="s">
        <v>29</v>
      </c>
      <c r="F141" s="15" t="b">
        <f>FALSE()</f>
        <v>0</v>
      </c>
      <c r="G141" s="7" t="s">
        <v>114</v>
      </c>
      <c r="H141" s="7" t="str">
        <f t="shared" si="2"/>
        <v>llama|no_guideline|41</v>
      </c>
    </row>
    <row r="142" spans="1:8" x14ac:dyDescent="0.2">
      <c r="A142" s="7" t="s">
        <v>31</v>
      </c>
      <c r="B142" s="7" t="s">
        <v>27</v>
      </c>
      <c r="C142" s="7">
        <v>1</v>
      </c>
      <c r="D142" s="7" t="s">
        <v>92</v>
      </c>
      <c r="E142" s="7" t="s">
        <v>29</v>
      </c>
      <c r="F142" s="15" t="b">
        <f>FALSE()</f>
        <v>0</v>
      </c>
      <c r="G142" s="7" t="s">
        <v>93</v>
      </c>
      <c r="H142" s="7" t="str">
        <f t="shared" si="2"/>
        <v>llama|with_guideline|1</v>
      </c>
    </row>
    <row r="143" spans="1:8" x14ac:dyDescent="0.2">
      <c r="A143" s="7" t="s">
        <v>31</v>
      </c>
      <c r="B143" s="7" t="s">
        <v>27</v>
      </c>
      <c r="C143" s="7">
        <v>2</v>
      </c>
      <c r="D143" s="7" t="s">
        <v>92</v>
      </c>
      <c r="E143" s="7" t="s">
        <v>29</v>
      </c>
      <c r="F143" s="15" t="b">
        <f>FALSE()</f>
        <v>0</v>
      </c>
      <c r="G143" s="7" t="s">
        <v>95</v>
      </c>
      <c r="H143" s="7" t="str">
        <f t="shared" si="2"/>
        <v>llama|with_guideline|2</v>
      </c>
    </row>
    <row r="144" spans="1:8" x14ac:dyDescent="0.2">
      <c r="A144" s="7" t="s">
        <v>31</v>
      </c>
      <c r="B144" s="7" t="s">
        <v>27</v>
      </c>
      <c r="C144" s="7">
        <v>3</v>
      </c>
      <c r="D144" s="7" t="s">
        <v>92</v>
      </c>
      <c r="E144" s="7" t="s">
        <v>29</v>
      </c>
      <c r="F144" s="15" t="b">
        <f>FALSE()</f>
        <v>0</v>
      </c>
      <c r="G144" s="7" t="s">
        <v>96</v>
      </c>
      <c r="H144" s="7" t="str">
        <f t="shared" si="2"/>
        <v>llama|with_guideline|3</v>
      </c>
    </row>
    <row r="145" spans="1:8" x14ac:dyDescent="0.2">
      <c r="A145" s="7" t="s">
        <v>31</v>
      </c>
      <c r="B145" s="7" t="s">
        <v>27</v>
      </c>
      <c r="C145" s="7">
        <v>4</v>
      </c>
      <c r="D145" s="7" t="s">
        <v>94</v>
      </c>
      <c r="E145" s="7" t="s">
        <v>29</v>
      </c>
      <c r="F145" s="15" t="b">
        <f>FALSE()</f>
        <v>0</v>
      </c>
      <c r="G145" s="7" t="s">
        <v>97</v>
      </c>
      <c r="H145" s="7" t="str">
        <f t="shared" si="2"/>
        <v>llama|with_guideline|4</v>
      </c>
    </row>
    <row r="146" spans="1:8" x14ac:dyDescent="0.2">
      <c r="A146" s="7" t="s">
        <v>31</v>
      </c>
      <c r="B146" s="7" t="s">
        <v>27</v>
      </c>
      <c r="C146" s="7">
        <v>11</v>
      </c>
      <c r="D146" s="7" t="s">
        <v>92</v>
      </c>
      <c r="E146" s="7" t="s">
        <v>29</v>
      </c>
      <c r="F146" s="15" t="b">
        <f>FALSE()</f>
        <v>0</v>
      </c>
      <c r="G146" s="7" t="s">
        <v>98</v>
      </c>
      <c r="H146" s="7" t="str">
        <f t="shared" si="2"/>
        <v>llama|with_guideline|11</v>
      </c>
    </row>
    <row r="147" spans="1:8" x14ac:dyDescent="0.2">
      <c r="A147" s="7" t="s">
        <v>31</v>
      </c>
      <c r="B147" s="7" t="s">
        <v>27</v>
      </c>
      <c r="C147" s="7">
        <v>12</v>
      </c>
      <c r="D147" s="7" t="s">
        <v>94</v>
      </c>
      <c r="E147" s="7" t="s">
        <v>29</v>
      </c>
      <c r="F147" s="15" t="b">
        <f>FALSE()</f>
        <v>0</v>
      </c>
      <c r="G147" s="7" t="s">
        <v>99</v>
      </c>
      <c r="H147" s="7" t="str">
        <f t="shared" si="2"/>
        <v>llama|with_guideline|12</v>
      </c>
    </row>
    <row r="148" spans="1:8" x14ac:dyDescent="0.2">
      <c r="A148" s="7" t="s">
        <v>31</v>
      </c>
      <c r="B148" s="7" t="s">
        <v>27</v>
      </c>
      <c r="C148" s="7">
        <v>13</v>
      </c>
      <c r="D148" s="7" t="s">
        <v>94</v>
      </c>
      <c r="E148" s="7" t="s">
        <v>29</v>
      </c>
      <c r="F148" s="15" t="b">
        <f>FALSE()</f>
        <v>0</v>
      </c>
      <c r="G148" s="7" t="s">
        <v>100</v>
      </c>
      <c r="H148" s="7" t="str">
        <f t="shared" si="2"/>
        <v>llama|with_guideline|13</v>
      </c>
    </row>
    <row r="149" spans="1:8" x14ac:dyDescent="0.2">
      <c r="A149" s="7" t="s">
        <v>31</v>
      </c>
      <c r="B149" s="7" t="s">
        <v>27</v>
      </c>
      <c r="C149" s="7">
        <v>14</v>
      </c>
      <c r="D149" s="7" t="s">
        <v>101</v>
      </c>
      <c r="E149" s="7" t="s">
        <v>29</v>
      </c>
      <c r="F149" s="15" t="b">
        <f>FALSE()</f>
        <v>0</v>
      </c>
      <c r="G149" s="7" t="s">
        <v>102</v>
      </c>
      <c r="H149" s="7" t="str">
        <f t="shared" si="2"/>
        <v>llama|with_guideline|14</v>
      </c>
    </row>
    <row r="150" spans="1:8" x14ac:dyDescent="0.2">
      <c r="A150" s="7" t="s">
        <v>31</v>
      </c>
      <c r="B150" s="7" t="s">
        <v>27</v>
      </c>
      <c r="C150" s="7">
        <v>21</v>
      </c>
      <c r="D150" s="7" t="s">
        <v>92</v>
      </c>
      <c r="E150" s="7" t="s">
        <v>29</v>
      </c>
      <c r="F150" s="15" t="b">
        <f>FALSE()</f>
        <v>0</v>
      </c>
      <c r="G150" s="7" t="s">
        <v>103</v>
      </c>
      <c r="H150" s="7" t="str">
        <f t="shared" si="2"/>
        <v>llama|with_guideline|21</v>
      </c>
    </row>
    <row r="151" spans="1:8" x14ac:dyDescent="0.2">
      <c r="A151" s="7" t="s">
        <v>31</v>
      </c>
      <c r="B151" s="7" t="s">
        <v>27</v>
      </c>
      <c r="C151" s="7">
        <v>22</v>
      </c>
      <c r="D151" s="7" t="s">
        <v>101</v>
      </c>
      <c r="E151" s="7" t="s">
        <v>29</v>
      </c>
      <c r="F151" s="15" t="b">
        <f>FALSE()</f>
        <v>0</v>
      </c>
      <c r="G151" s="7" t="s">
        <v>104</v>
      </c>
      <c r="H151" s="7" t="str">
        <f t="shared" si="2"/>
        <v>llama|with_guideline|22</v>
      </c>
    </row>
    <row r="152" spans="1:8" x14ac:dyDescent="0.2">
      <c r="A152" s="7" t="s">
        <v>31</v>
      </c>
      <c r="B152" s="7" t="s">
        <v>27</v>
      </c>
      <c r="C152" s="7">
        <v>23</v>
      </c>
      <c r="D152" s="7" t="s">
        <v>101</v>
      </c>
      <c r="E152" s="7" t="s">
        <v>29</v>
      </c>
      <c r="F152" s="15" t="b">
        <f>FALSE()</f>
        <v>0</v>
      </c>
      <c r="G152" s="7" t="s">
        <v>105</v>
      </c>
      <c r="H152" s="7" t="str">
        <f t="shared" si="2"/>
        <v>llama|with_guideline|23</v>
      </c>
    </row>
    <row r="153" spans="1:8" x14ac:dyDescent="0.2">
      <c r="A153" s="7" t="s">
        <v>31</v>
      </c>
      <c r="B153" s="7" t="s">
        <v>27</v>
      </c>
      <c r="C153" s="7">
        <v>24</v>
      </c>
      <c r="D153" s="7" t="s">
        <v>101</v>
      </c>
      <c r="E153" s="7" t="s">
        <v>29</v>
      </c>
      <c r="F153" s="15" t="b">
        <f>FALSE()</f>
        <v>0</v>
      </c>
      <c r="G153" s="7" t="s">
        <v>106</v>
      </c>
      <c r="H153" s="7" t="str">
        <f t="shared" si="2"/>
        <v>llama|with_guideline|24</v>
      </c>
    </row>
    <row r="154" spans="1:8" x14ac:dyDescent="0.2">
      <c r="A154" s="7" t="s">
        <v>31</v>
      </c>
      <c r="B154" s="7" t="s">
        <v>27</v>
      </c>
      <c r="C154" s="7">
        <v>25</v>
      </c>
      <c r="D154" s="7" t="s">
        <v>101</v>
      </c>
      <c r="E154" s="7" t="s">
        <v>29</v>
      </c>
      <c r="F154" s="15" t="b">
        <f>FALSE()</f>
        <v>0</v>
      </c>
      <c r="G154" s="7" t="s">
        <v>107</v>
      </c>
      <c r="H154" s="7" t="str">
        <f t="shared" si="2"/>
        <v>llama|with_guideline|25</v>
      </c>
    </row>
    <row r="155" spans="1:8" x14ac:dyDescent="0.2">
      <c r="A155" s="7" t="s">
        <v>31</v>
      </c>
      <c r="B155" s="7" t="s">
        <v>27</v>
      </c>
      <c r="C155" s="7">
        <v>26</v>
      </c>
      <c r="D155" s="7" t="s">
        <v>101</v>
      </c>
      <c r="E155" s="7" t="s">
        <v>29</v>
      </c>
      <c r="F155" s="15" t="b">
        <f>FALSE()</f>
        <v>0</v>
      </c>
      <c r="G155" s="7" t="s">
        <v>108</v>
      </c>
      <c r="H155" s="7" t="str">
        <f t="shared" si="2"/>
        <v>llama|with_guideline|26</v>
      </c>
    </row>
    <row r="156" spans="1:8" x14ac:dyDescent="0.2">
      <c r="A156" s="7" t="s">
        <v>31</v>
      </c>
      <c r="B156" s="7" t="s">
        <v>27</v>
      </c>
      <c r="C156" s="7">
        <v>27</v>
      </c>
      <c r="D156" s="7" t="s">
        <v>101</v>
      </c>
      <c r="E156" s="7" t="s">
        <v>29</v>
      </c>
      <c r="F156" s="15" t="b">
        <f>FALSE()</f>
        <v>0</v>
      </c>
      <c r="G156" s="7" t="s">
        <v>109</v>
      </c>
      <c r="H156" s="7" t="str">
        <f t="shared" si="2"/>
        <v>llama|with_guideline|27</v>
      </c>
    </row>
    <row r="157" spans="1:8" x14ac:dyDescent="0.2">
      <c r="A157" s="7" t="s">
        <v>31</v>
      </c>
      <c r="B157" s="7" t="s">
        <v>27</v>
      </c>
      <c r="C157" s="7">
        <v>28</v>
      </c>
      <c r="D157" s="7" t="s">
        <v>101</v>
      </c>
      <c r="E157" s="7" t="s">
        <v>29</v>
      </c>
      <c r="F157" s="15" t="b">
        <f>FALSE()</f>
        <v>0</v>
      </c>
      <c r="G157" s="7" t="s">
        <v>110</v>
      </c>
      <c r="H157" s="7" t="str">
        <f t="shared" si="2"/>
        <v>llama|with_guideline|28</v>
      </c>
    </row>
    <row r="158" spans="1:8" x14ac:dyDescent="0.2">
      <c r="A158" s="7" t="s">
        <v>31</v>
      </c>
      <c r="B158" s="7" t="s">
        <v>27</v>
      </c>
      <c r="C158" s="7">
        <v>29</v>
      </c>
      <c r="D158" s="7" t="s">
        <v>101</v>
      </c>
      <c r="E158" s="7" t="s">
        <v>29</v>
      </c>
      <c r="F158" s="15" t="b">
        <f>FALSE()</f>
        <v>0</v>
      </c>
      <c r="G158" s="7" t="s">
        <v>111</v>
      </c>
      <c r="H158" s="7" t="str">
        <f t="shared" si="2"/>
        <v>llama|with_guideline|29</v>
      </c>
    </row>
    <row r="159" spans="1:8" x14ac:dyDescent="0.2">
      <c r="A159" s="7" t="s">
        <v>31</v>
      </c>
      <c r="B159" s="7" t="s">
        <v>27</v>
      </c>
      <c r="C159" s="7">
        <v>31</v>
      </c>
      <c r="D159" s="7" t="s">
        <v>92</v>
      </c>
      <c r="E159" s="7" t="s">
        <v>29</v>
      </c>
      <c r="F159" s="15" t="b">
        <f>FALSE()</f>
        <v>0</v>
      </c>
      <c r="G159" s="7" t="s">
        <v>112</v>
      </c>
      <c r="H159" s="7" t="str">
        <f t="shared" si="2"/>
        <v>llama|with_guideline|31</v>
      </c>
    </row>
    <row r="160" spans="1:8" x14ac:dyDescent="0.2">
      <c r="A160" s="7" t="s">
        <v>31</v>
      </c>
      <c r="B160" s="7" t="s">
        <v>27</v>
      </c>
      <c r="C160" s="7">
        <v>32</v>
      </c>
      <c r="D160" s="7" t="s">
        <v>92</v>
      </c>
      <c r="E160" s="7" t="s">
        <v>29</v>
      </c>
      <c r="F160" s="15" t="b">
        <f>FALSE()</f>
        <v>0</v>
      </c>
      <c r="G160" s="7" t="s">
        <v>113</v>
      </c>
      <c r="H160" s="7" t="str">
        <f t="shared" si="2"/>
        <v>llama|with_guideline|32</v>
      </c>
    </row>
    <row r="161" spans="1:8" x14ac:dyDescent="0.2">
      <c r="A161" s="7" t="s">
        <v>31</v>
      </c>
      <c r="B161" s="7" t="s">
        <v>27</v>
      </c>
      <c r="C161" s="7">
        <v>41</v>
      </c>
      <c r="D161" s="7" t="s">
        <v>94</v>
      </c>
      <c r="E161" s="7" t="s">
        <v>29</v>
      </c>
      <c r="F161" s="15" t="b">
        <f>FALSE()</f>
        <v>0</v>
      </c>
      <c r="G161" s="7" t="s">
        <v>114</v>
      </c>
      <c r="H161" s="7" t="str">
        <f t="shared" si="2"/>
        <v>llama|with_guideline|41</v>
      </c>
    </row>
    <row r="164" spans="1:8" x14ac:dyDescent="0.2">
      <c r="A164" s="1" t="s">
        <v>0</v>
      </c>
      <c r="B164" s="1" t="s">
        <v>1</v>
      </c>
      <c r="C164" t="s">
        <v>5</v>
      </c>
      <c r="D164" s="7" t="s">
        <v>32</v>
      </c>
      <c r="E164" s="7" t="s">
        <v>43</v>
      </c>
      <c r="F164" t="s">
        <v>33</v>
      </c>
    </row>
    <row r="165" spans="1:8" x14ac:dyDescent="0.2">
      <c r="A165" s="2" t="s">
        <v>8</v>
      </c>
      <c r="B165" s="2" t="s">
        <v>9</v>
      </c>
      <c r="C165">
        <f>COUNTIFS(A2:A161,"gpt",B2:B161,"no_guideline",F2:F161,TRUE)</f>
        <v>17</v>
      </c>
      <c r="D165">
        <v>20</v>
      </c>
      <c r="E165" s="8">
        <f>C165/D165</f>
        <v>0.85</v>
      </c>
      <c r="F165">
        <f>COUNTIFS(A42:A161,"gpt",B42:B161,"no_guideline",E42:E161,"PARSE_ERROR")</f>
        <v>0</v>
      </c>
    </row>
    <row r="166" spans="1:8" x14ac:dyDescent="0.2">
      <c r="A166" s="2" t="s">
        <v>8</v>
      </c>
      <c r="B166" s="2" t="s">
        <v>27</v>
      </c>
      <c r="C166">
        <f>COUNTIFS(A2:A161,"gpt",B2:B161,"with_guideline",F2:F161,TRUE)</f>
        <v>19</v>
      </c>
      <c r="D166">
        <v>20</v>
      </c>
      <c r="E166" s="8">
        <f t="shared" ref="E166:E172" si="3">C166/D166</f>
        <v>0.95</v>
      </c>
      <c r="F166">
        <f>COUNTIFS(A42:A161,"gpt",B42:B161,"with_guideline",E42:E161,"PARSE_ERROR")</f>
        <v>0</v>
      </c>
    </row>
    <row r="167" spans="1:8" x14ac:dyDescent="0.2">
      <c r="A167" s="2" t="s">
        <v>28</v>
      </c>
      <c r="B167" s="2" t="s">
        <v>9</v>
      </c>
      <c r="C167">
        <f>COUNTIFS(A2:A161,"claude",B2:B161,"no_guideline",F2:F161,TRUE)</f>
        <v>0</v>
      </c>
      <c r="D167">
        <v>20</v>
      </c>
      <c r="E167" s="8">
        <f t="shared" si="3"/>
        <v>0</v>
      </c>
      <c r="F167">
        <f>COUNTIFS(A42:A161,"claude",B42:B161,"no_guideline",E42:E161,"PARSE_ERROR")</f>
        <v>20</v>
      </c>
    </row>
    <row r="168" spans="1:8" x14ac:dyDescent="0.2">
      <c r="A168" s="2" t="s">
        <v>28</v>
      </c>
      <c r="B168" s="2" t="s">
        <v>27</v>
      </c>
      <c r="C168">
        <f>COUNTIFS(A2:A161,"claude",B2:B161,"with_guideline",F2:F161,TRUE)</f>
        <v>0</v>
      </c>
      <c r="D168">
        <v>20</v>
      </c>
      <c r="E168" s="8">
        <f t="shared" si="3"/>
        <v>0</v>
      </c>
      <c r="F168">
        <f>COUNTIFS(A42:A161,"claude",B42:B161,"with_guideline",E42:E161,"PARSE_ERROR")</f>
        <v>20</v>
      </c>
    </row>
    <row r="169" spans="1:8" x14ac:dyDescent="0.2">
      <c r="A169" s="2" t="s">
        <v>30</v>
      </c>
      <c r="B169" s="2" t="s">
        <v>9</v>
      </c>
      <c r="C169">
        <f>COUNTIFS(A2:A161,"gemini",B2:B161,"no_guideline",F2:F161,TRUE)</f>
        <v>16</v>
      </c>
      <c r="D169">
        <v>20</v>
      </c>
      <c r="E169" s="8">
        <f t="shared" si="3"/>
        <v>0.8</v>
      </c>
      <c r="F169">
        <f>COUNTIFS(A42:A161,"gemini",B42:B161,"no_guideline",E42:E161,"PARSE_ERROR")</f>
        <v>0</v>
      </c>
    </row>
    <row r="170" spans="1:8" x14ac:dyDescent="0.2">
      <c r="A170" s="2" t="s">
        <v>30</v>
      </c>
      <c r="B170" s="2" t="s">
        <v>27</v>
      </c>
      <c r="C170">
        <f>COUNTIFS(A2:A161,"gemini",B2:B161,"with_guideline",F2:F161,TRUE)</f>
        <v>14</v>
      </c>
      <c r="D170">
        <v>20</v>
      </c>
      <c r="E170" s="8">
        <f t="shared" si="3"/>
        <v>0.7</v>
      </c>
      <c r="F170">
        <f>COUNTIFS(A42:A161,"gemini",B42:B161,"with_guideline",E42:E161,"PARSE_ERROR")</f>
        <v>0</v>
      </c>
    </row>
    <row r="171" spans="1:8" x14ac:dyDescent="0.2">
      <c r="A171" s="2" t="s">
        <v>31</v>
      </c>
      <c r="B171" s="2" t="s">
        <v>9</v>
      </c>
      <c r="C171">
        <f>COUNTIFS(A2:A161,"llama",B2:B161,"no_guideline",F2:F161,TRUE)</f>
        <v>0</v>
      </c>
      <c r="D171">
        <v>20</v>
      </c>
      <c r="E171" s="8">
        <f t="shared" si="3"/>
        <v>0</v>
      </c>
      <c r="F171">
        <f>COUNTIFS(A42:A161,"llama",B42:B161,"no_guideline",E42:E161,"PARSE_ERROR")</f>
        <v>19</v>
      </c>
    </row>
    <row r="172" spans="1:8" x14ac:dyDescent="0.2">
      <c r="A172" s="2" t="s">
        <v>31</v>
      </c>
      <c r="B172" s="2" t="s">
        <v>27</v>
      </c>
      <c r="C172">
        <f>COUNTIFS(A2:A161,"llama",B2:B161,"with_guideline",F2:F161,TRUE)</f>
        <v>0</v>
      </c>
      <c r="D172">
        <v>20</v>
      </c>
      <c r="E172" s="8">
        <f t="shared" si="3"/>
        <v>0</v>
      </c>
      <c r="F172">
        <f>COUNTIFS(A42:A161,"llama",B42:B161,"with_guideline",E42:E161,"PARSE_ERROR")</f>
        <v>20</v>
      </c>
    </row>
    <row r="174" spans="1:8" x14ac:dyDescent="0.2">
      <c r="A174" s="12" t="s">
        <v>44</v>
      </c>
    </row>
    <row r="175" spans="1:8" x14ac:dyDescent="0.2">
      <c r="A175" s="1" t="s">
        <v>0</v>
      </c>
      <c r="B175" s="1" t="s">
        <v>34</v>
      </c>
      <c r="C175" s="1" t="s">
        <v>35</v>
      </c>
      <c r="D175" s="1" t="s">
        <v>36</v>
      </c>
    </row>
    <row r="176" spans="1:8" x14ac:dyDescent="0.2">
      <c r="A176" s="2" t="s">
        <v>8</v>
      </c>
      <c r="B176" s="8">
        <f>E165</f>
        <v>0.85</v>
      </c>
      <c r="C176" s="5">
        <f>E166</f>
        <v>0.95</v>
      </c>
      <c r="D176" s="6">
        <f>IF(OR(B176="N/A",C176="N/A"),"N/A",C176-B176)</f>
        <v>9.9999999999999978E-2</v>
      </c>
    </row>
    <row r="177" spans="1:8" x14ac:dyDescent="0.2">
      <c r="A177" s="2" t="s">
        <v>28</v>
      </c>
      <c r="B177" s="5">
        <f>E167</f>
        <v>0</v>
      </c>
      <c r="C177" s="5">
        <f>E168</f>
        <v>0</v>
      </c>
      <c r="D177" s="6">
        <f>IF(OR(B177="N/A",C177="N/A"),"N/A",C177-B177)</f>
        <v>0</v>
      </c>
    </row>
    <row r="178" spans="1:8" x14ac:dyDescent="0.2">
      <c r="A178" s="2" t="s">
        <v>30</v>
      </c>
      <c r="B178" s="5">
        <f>E169</f>
        <v>0.8</v>
      </c>
      <c r="C178" s="5">
        <f>E170</f>
        <v>0.7</v>
      </c>
      <c r="D178" s="6">
        <f>IF(OR(B178="N/A",C178="N/A"),"N/A",C178-B178)</f>
        <v>-0.10000000000000009</v>
      </c>
    </row>
    <row r="179" spans="1:8" x14ac:dyDescent="0.2">
      <c r="A179" s="2" t="s">
        <v>31</v>
      </c>
      <c r="B179" s="13">
        <f>E171</f>
        <v>0</v>
      </c>
      <c r="C179" s="5">
        <f>E172</f>
        <v>0</v>
      </c>
      <c r="D179" s="6">
        <f>IF(OR(B179="N/A",C179="N/A"),"N/A",C179-B179)</f>
        <v>0</v>
      </c>
    </row>
    <row r="183" spans="1:8" x14ac:dyDescent="0.2">
      <c r="A183" s="10" t="s">
        <v>2</v>
      </c>
      <c r="B183" s="10" t="s">
        <v>3</v>
      </c>
      <c r="C183" s="10" t="s">
        <v>37</v>
      </c>
      <c r="D183" s="10" t="s">
        <v>38</v>
      </c>
      <c r="E183" s="10" t="s">
        <v>39</v>
      </c>
      <c r="F183" s="10" t="s">
        <v>40</v>
      </c>
      <c r="G183" s="10" t="s">
        <v>41</v>
      </c>
      <c r="H183" s="10" t="s">
        <v>42</v>
      </c>
    </row>
    <row r="184" spans="1:8" x14ac:dyDescent="0.2">
      <c r="A184" s="7">
        <v>1</v>
      </c>
      <c r="B184" s="7" t="str">
        <f>IFERROR(INDEX([3]Details!D:D,MATCH("gpt|with_guideline|1",[3]Details!H:H,0)),"N/A")</f>
        <v>ExcludeDVT</v>
      </c>
      <c r="C184" s="7" t="str">
        <f>IFERROR(INDEX([3]Details!E:E,MATCH("gpt|with_guideline|1",[3]Details!H:H,0)),"N/A")</f>
        <v>ExcludeDVT</v>
      </c>
      <c r="D184" s="7" t="str">
        <f>IFERROR(INDEX([3]Details!E:E,MATCH("claude|with_guideline|1",[3]Details!H:H,0)),"N/A")</f>
        <v>PARSE_ERROR</v>
      </c>
      <c r="E184" s="7" t="str">
        <f>IFERROR(INDEX([3]Details!E:E,MATCH("gemini|with_guideline|1",[3]Details!H:H,0)),"N/A")</f>
        <v>ExcludeDVT</v>
      </c>
      <c r="F184" s="7" t="str">
        <f>IFERROR(INDEX([3]Details!E:E,MATCH("llama|with_guideline|1",[3]Details!H:H,0)),"N/A")</f>
        <v>PARSE_ERROR</v>
      </c>
      <c r="G184" s="7">
        <f t="shared" ref="G184:G203" si="4">SUMPRODUCT(((C184:F184)&lt;&gt;B184)*1)</f>
        <v>2</v>
      </c>
      <c r="H184" s="7" t="b">
        <f t="shared" ref="H184:H203" si="5">IF(SUMPRODUCT(1/COUNTIF(C184:F184,C184:F184))=1,TRUE(),FALSE())</f>
        <v>0</v>
      </c>
    </row>
    <row r="185" spans="1:8" x14ac:dyDescent="0.2">
      <c r="A185" s="7">
        <v>2</v>
      </c>
      <c r="B185" s="7" t="str">
        <f>IFERROR(INDEX([3]Details!D:D,MATCH("gpt|with_guideline|2",[3]Details!H:H,0)),"N/A")</f>
        <v>ExcludeDVT</v>
      </c>
      <c r="C185" s="7" t="str">
        <f>IFERROR(INDEX([3]Details!E:E,MATCH("gpt|with_guideline|2",[3]Details!H:H,0)),"N/A")</f>
        <v>TreatAnticoagulation</v>
      </c>
      <c r="D185" s="7" t="str">
        <f>IFERROR(INDEX([3]Details!E:E,MATCH("claude|with_guideline|2",[3]Details!H:H,0)),"N/A")</f>
        <v>PARSE_ERROR</v>
      </c>
      <c r="E185" s="7" t="str">
        <f>IFERROR(INDEX([3]Details!E:E,MATCH("gemini|with_guideline|2",[3]Details!H:H,0)),"N/A")</f>
        <v>ExcludeDVT</v>
      </c>
      <c r="F185" s="7" t="str">
        <f>IFERROR(INDEX([3]Details!E:E,MATCH("llama|with_guideline|2",[3]Details!H:H,0)),"N/A")</f>
        <v>PARSE_ERROR</v>
      </c>
      <c r="G185" s="7">
        <f t="shared" si="4"/>
        <v>3</v>
      </c>
      <c r="H185" s="7" t="b">
        <f t="shared" si="5"/>
        <v>0</v>
      </c>
    </row>
    <row r="186" spans="1:8" x14ac:dyDescent="0.2">
      <c r="A186" s="7">
        <v>3</v>
      </c>
      <c r="B186" s="7" t="str">
        <f>IFERROR(INDEX([3]Details!D:D,MATCH("gpt|with_guideline|3",[3]Details!H:H,0)),"N/A")</f>
        <v>ExcludeDVT</v>
      </c>
      <c r="C186" s="7" t="str">
        <f>IFERROR(INDEX([3]Details!E:E,MATCH("gpt|with_guideline|3",[3]Details!H:H,0)),"N/A")</f>
        <v>ExcludeDVT</v>
      </c>
      <c r="D186" s="7" t="str">
        <f>IFERROR(INDEX([3]Details!E:E,MATCH("claude|with_guideline|3",[3]Details!H:H,0)),"N/A")</f>
        <v>PARSE_ERROR</v>
      </c>
      <c r="E186" s="7" t="str">
        <f>IFERROR(INDEX([3]Details!E:E,MATCH("gemini|with_guideline|3",[3]Details!H:H,0)),"N/A")</f>
        <v>ExcludeDVT</v>
      </c>
      <c r="F186" s="7" t="str">
        <f>IFERROR(INDEX([3]Details!E:E,MATCH("llama|with_guideline|3",[3]Details!H:H,0)),"N/A")</f>
        <v>PARSE_ERROR</v>
      </c>
      <c r="G186" s="7">
        <f t="shared" si="4"/>
        <v>2</v>
      </c>
      <c r="H186" s="7" t="b">
        <f t="shared" si="5"/>
        <v>0</v>
      </c>
    </row>
    <row r="187" spans="1:8" x14ac:dyDescent="0.2">
      <c r="A187" s="7">
        <v>4</v>
      </c>
      <c r="B187" s="7" t="str">
        <f>IFERROR(INDEX([3]Details!D:D,MATCH("gpt|with_guideline|4",[3]Details!H:H,0)),"N/A")</f>
        <v>TreatAnticoagulation</v>
      </c>
      <c r="C187" s="7" t="str">
        <f>IFERROR(INDEX([3]Details!E:E,MATCH("gpt|with_guideline|4",[3]Details!H:H,0)),"N/A")</f>
        <v>TreatAnticoagulation</v>
      </c>
      <c r="D187" s="7" t="str">
        <f>IFERROR(INDEX([3]Details!E:E,MATCH("claude|with_guideline|4",[3]Details!H:H,0)),"N/A")</f>
        <v>PARSE_ERROR</v>
      </c>
      <c r="E187" s="7" t="str">
        <f>IFERROR(INDEX([3]Details!E:E,MATCH("gemini|with_guideline|4",[3]Details!H:H,0)),"N/A")</f>
        <v>TreatAnticoagulation</v>
      </c>
      <c r="F187" s="7" t="str">
        <f>IFERROR(INDEX([3]Details!E:E,MATCH("llama|with_guideline|4",[3]Details!H:H,0)),"N/A")</f>
        <v>PARSE_ERROR</v>
      </c>
      <c r="G187" s="7">
        <f t="shared" si="4"/>
        <v>2</v>
      </c>
      <c r="H187" s="7" t="b">
        <f t="shared" si="5"/>
        <v>0</v>
      </c>
    </row>
    <row r="188" spans="1:8" x14ac:dyDescent="0.2">
      <c r="A188" s="7">
        <v>11</v>
      </c>
      <c r="B188" s="7" t="str">
        <f>IFERROR(INDEX([3]Details!D:D,MATCH("gpt|with_guideline|11",[3]Details!H:H,0)),"N/A")</f>
        <v>ExcludeDVT</v>
      </c>
      <c r="C188" s="7" t="str">
        <f>IFERROR(INDEX([3]Details!E:E,MATCH("gpt|with_guideline|11",[3]Details!H:H,0)),"N/A")</f>
        <v>ExcludeDVT</v>
      </c>
      <c r="D188" s="7" t="str">
        <f>IFERROR(INDEX([3]Details!E:E,MATCH("claude|with_guideline|11",[3]Details!H:H,0)),"N/A")</f>
        <v>PARSE_ERROR</v>
      </c>
      <c r="E188" s="7" t="str">
        <f>IFERROR(INDEX([3]Details!E:E,MATCH("gemini|with_guideline|11",[3]Details!H:H,0)),"N/A")</f>
        <v>ExcludeDVT</v>
      </c>
      <c r="F188" s="7" t="str">
        <f>IFERROR(INDEX([3]Details!E:E,MATCH("llama|with_guideline|11",[3]Details!H:H,0)),"N/A")</f>
        <v>PARSE_ERROR</v>
      </c>
      <c r="G188" s="7">
        <f t="shared" si="4"/>
        <v>2</v>
      </c>
      <c r="H188" s="7" t="b">
        <f t="shared" si="5"/>
        <v>0</v>
      </c>
    </row>
    <row r="189" spans="1:8" x14ac:dyDescent="0.2">
      <c r="A189" s="7">
        <v>12</v>
      </c>
      <c r="B189" s="7" t="str">
        <f>IFERROR(INDEX([3]Details!D:D,MATCH("gpt|with_guideline|12",[3]Details!H:H,0)),"N/A")</f>
        <v>TreatAnticoagulation</v>
      </c>
      <c r="C189" s="7" t="str">
        <f>IFERROR(INDEX([3]Details!E:E,MATCH("gpt|with_guideline|12",[3]Details!H:H,0)),"N/A")</f>
        <v>TreatAnticoagulation</v>
      </c>
      <c r="D189" s="7" t="str">
        <f>IFERROR(INDEX([3]Details!E:E,MATCH("claude|with_guideline|12",[3]Details!H:H,0)),"N/A")</f>
        <v>PARSE_ERROR</v>
      </c>
      <c r="E189" s="7" t="str">
        <f>IFERROR(INDEX([3]Details!E:E,MATCH("gemini|with_guideline|12",[3]Details!H:H,0)),"N/A")</f>
        <v>TreatAnticoagulation</v>
      </c>
      <c r="F189" s="7" t="str">
        <f>IFERROR(INDEX([3]Details!E:E,MATCH("llama|with_guideline|12",[3]Details!H:H,0)),"N/A")</f>
        <v>PARSE_ERROR</v>
      </c>
      <c r="G189" s="7">
        <f t="shared" si="4"/>
        <v>2</v>
      </c>
      <c r="H189" s="7" t="b">
        <f t="shared" si="5"/>
        <v>0</v>
      </c>
    </row>
    <row r="190" spans="1:8" x14ac:dyDescent="0.2">
      <c r="A190" s="7">
        <v>13</v>
      </c>
      <c r="B190" s="7" t="str">
        <f>IFERROR(INDEX([3]Details!D:D,MATCH("gpt|with_guideline|13",[3]Details!H:H,0)),"N/A")</f>
        <v>TreatAnticoagulation</v>
      </c>
      <c r="C190" s="7" t="str">
        <f>IFERROR(INDEX([3]Details!E:E,MATCH("gpt|with_guideline|13",[3]Details!H:H,0)),"N/A")</f>
        <v>TreatAnticoagulation</v>
      </c>
      <c r="D190" s="7" t="str">
        <f>IFERROR(INDEX([3]Details!E:E,MATCH("claude|with_guideline|13",[3]Details!H:H,0)),"N/A")</f>
        <v>PARSE_ERROR</v>
      </c>
      <c r="E190" s="7" t="str">
        <f>IFERROR(INDEX([3]Details!E:E,MATCH("gemini|with_guideline|13",[3]Details!H:H,0)),"N/A")</f>
        <v>TreatAnticoagulation</v>
      </c>
      <c r="F190" s="7" t="str">
        <f>IFERROR(INDEX([3]Details!E:E,MATCH("llama|with_guideline|13",[3]Details!H:H,0)),"N/A")</f>
        <v>PARSE_ERROR</v>
      </c>
      <c r="G190" s="7">
        <f t="shared" si="4"/>
        <v>2</v>
      </c>
      <c r="H190" s="7" t="b">
        <f t="shared" si="5"/>
        <v>0</v>
      </c>
    </row>
    <row r="191" spans="1:8" x14ac:dyDescent="0.2">
      <c r="A191" s="7">
        <v>14</v>
      </c>
      <c r="B191" s="7" t="str">
        <f>IFERROR(INDEX([3]Details!D:D,MATCH("gpt|with_guideline|14",[3]Details!H:H,0)),"N/A")</f>
        <v>RepeatUltrasoundIn1Week</v>
      </c>
      <c r="C191" s="7" t="str">
        <f>IFERROR(INDEX([3]Details!E:E,MATCH("gpt|with_guideline|14",[3]Details!H:H,0)),"N/A")</f>
        <v>RepeatUltrasoundIn1Week</v>
      </c>
      <c r="D191" s="7" t="str">
        <f>IFERROR(INDEX([3]Details!E:E,MATCH("claude|with_guideline|14",[3]Details!H:H,0)),"N/A")</f>
        <v>PARSE_ERROR</v>
      </c>
      <c r="E191" s="7" t="str">
        <f>IFERROR(INDEX([3]Details!E:E,MATCH("gemini|with_guideline|14",[3]Details!H:H,0)),"N/A")</f>
        <v>TreatAnticoagulation</v>
      </c>
      <c r="F191" s="7" t="str">
        <f>IFERROR(INDEX([3]Details!E:E,MATCH("llama|with_guideline|14",[3]Details!H:H,0)),"N/A")</f>
        <v>PARSE_ERROR</v>
      </c>
      <c r="G191" s="7">
        <f t="shared" si="4"/>
        <v>3</v>
      </c>
      <c r="H191" s="7" t="b">
        <f t="shared" si="5"/>
        <v>0</v>
      </c>
    </row>
    <row r="192" spans="1:8" x14ac:dyDescent="0.2">
      <c r="A192" s="7">
        <v>21</v>
      </c>
      <c r="B192" s="7" t="str">
        <f>IFERROR(INDEX([3]Details!D:D,MATCH("gpt|with_guideline|21",[3]Details!H:H,0)),"N/A")</f>
        <v>ExcludeDVT</v>
      </c>
      <c r="C192" s="7" t="str">
        <f>IFERROR(INDEX([3]Details!E:E,MATCH("gpt|with_guideline|21",[3]Details!H:H,0)),"N/A")</f>
        <v>ExcludeDVT</v>
      </c>
      <c r="D192" s="7" t="str">
        <f>IFERROR(INDEX([3]Details!E:E,MATCH("claude|with_guideline|21",[3]Details!H:H,0)),"N/A")</f>
        <v>PARSE_ERROR</v>
      </c>
      <c r="E192" s="7" t="str">
        <f>IFERROR(INDEX([3]Details!E:E,MATCH("gemini|with_guideline|21",[3]Details!H:H,0)),"N/A")</f>
        <v>TreatAnticoagulation</v>
      </c>
      <c r="F192" s="7" t="str">
        <f>IFERROR(INDEX([3]Details!E:E,MATCH("llama|with_guideline|21",[3]Details!H:H,0)),"N/A")</f>
        <v>PARSE_ERROR</v>
      </c>
      <c r="G192" s="7">
        <f t="shared" si="4"/>
        <v>3</v>
      </c>
      <c r="H192" s="7" t="b">
        <f t="shared" si="5"/>
        <v>0</v>
      </c>
    </row>
    <row r="193" spans="1:8" x14ac:dyDescent="0.2">
      <c r="A193" s="7">
        <v>22</v>
      </c>
      <c r="B193" s="7" t="str">
        <f>IFERROR(INDEX([3]Details!D:D,MATCH("gpt|with_guideline|22",[3]Details!H:H,0)),"N/A")</f>
        <v>RepeatUltrasoundIn1Week</v>
      </c>
      <c r="C193" s="7" t="str">
        <f>IFERROR(INDEX([3]Details!E:E,MATCH("gpt|with_guideline|22",[3]Details!H:H,0)),"N/A")</f>
        <v>RepeatUltrasoundIn1Week</v>
      </c>
      <c r="D193" s="7" t="str">
        <f>IFERROR(INDEX([3]Details!E:E,MATCH("claude|with_guideline|22",[3]Details!H:H,0)),"N/A")</f>
        <v>PARSE_ERROR</v>
      </c>
      <c r="E193" s="7" t="str">
        <f>IFERROR(INDEX([3]Details!E:E,MATCH("gemini|with_guideline|22",[3]Details!H:H,0)),"N/A")</f>
        <v>RepeatUltrasoundIn1Week</v>
      </c>
      <c r="F193" s="7" t="str">
        <f>IFERROR(INDEX([3]Details!E:E,MATCH("llama|with_guideline|22",[3]Details!H:H,0)),"N/A")</f>
        <v>PARSE_ERROR</v>
      </c>
      <c r="G193" s="7">
        <f t="shared" si="4"/>
        <v>2</v>
      </c>
      <c r="H193" s="7" t="b">
        <f t="shared" si="5"/>
        <v>0</v>
      </c>
    </row>
    <row r="194" spans="1:8" x14ac:dyDescent="0.2">
      <c r="A194" s="7">
        <v>23</v>
      </c>
      <c r="B194" s="7" t="str">
        <f>IFERROR(INDEX([3]Details!D:D,MATCH("gpt|with_guideline|23",[3]Details!H:H,0)),"N/A")</f>
        <v>RepeatUltrasoundIn1Week</v>
      </c>
      <c r="C194" s="7" t="str">
        <f>IFERROR(INDEX([3]Details!E:E,MATCH("gpt|with_guideline|23",[3]Details!H:H,0)),"N/A")</f>
        <v>RepeatUltrasoundIn1Week</v>
      </c>
      <c r="D194" s="7" t="str">
        <f>IFERROR(INDEX([3]Details!E:E,MATCH("claude|with_guideline|23",[3]Details!H:H,0)),"N/A")</f>
        <v>PARSE_ERROR</v>
      </c>
      <c r="E194" s="7" t="str">
        <f>IFERROR(INDEX([3]Details!E:E,MATCH("gemini|with_guideline|23",[3]Details!H:H,0)),"N/A")</f>
        <v>RepeatUltrasoundIn1Week</v>
      </c>
      <c r="F194" s="7" t="str">
        <f>IFERROR(INDEX([3]Details!E:E,MATCH("llama|with_guideline|23",[3]Details!H:H,0)),"N/A")</f>
        <v>PARSE_ERROR</v>
      </c>
      <c r="G194" s="7">
        <f t="shared" si="4"/>
        <v>2</v>
      </c>
      <c r="H194" s="7" t="b">
        <f t="shared" si="5"/>
        <v>0</v>
      </c>
    </row>
    <row r="195" spans="1:8" x14ac:dyDescent="0.2">
      <c r="A195" s="7">
        <v>24</v>
      </c>
      <c r="B195" s="7" t="str">
        <f>IFERROR(INDEX([3]Details!D:D,MATCH("gpt|with_guideline|24",[3]Details!H:H,0)),"N/A")</f>
        <v>RepeatUltrasoundIn1Week</v>
      </c>
      <c r="C195" s="7" t="str">
        <f>IFERROR(INDEX([3]Details!E:E,MATCH("gpt|with_guideline|24",[3]Details!H:H,0)),"N/A")</f>
        <v>RepeatUltrasoundIn1Week</v>
      </c>
      <c r="D195" s="7" t="str">
        <f>IFERROR(INDEX([3]Details!E:E,MATCH("claude|with_guideline|24",[3]Details!H:H,0)),"N/A")</f>
        <v>PARSE_ERROR</v>
      </c>
      <c r="E195" s="7" t="str">
        <f>IFERROR(INDEX([3]Details!E:E,MATCH("gemini|with_guideline|24",[3]Details!H:H,0)),"N/A")</f>
        <v>RepeatUltrasoundIn1Week</v>
      </c>
      <c r="F195" s="7" t="str">
        <f>IFERROR(INDEX([3]Details!E:E,MATCH("llama|with_guideline|24",[3]Details!H:H,0)),"N/A")</f>
        <v>PARSE_ERROR</v>
      </c>
      <c r="G195" s="7">
        <f t="shared" si="4"/>
        <v>2</v>
      </c>
      <c r="H195" s="7" t="b">
        <f t="shared" si="5"/>
        <v>0</v>
      </c>
    </row>
    <row r="196" spans="1:8" x14ac:dyDescent="0.2">
      <c r="A196" s="7">
        <v>25</v>
      </c>
      <c r="B196" s="7" t="str">
        <f>IFERROR(INDEX([3]Details!D:D,MATCH("gpt|with_guideline|25",[3]Details!H:H,0)),"N/A")</f>
        <v>RepeatUltrasoundIn1Week</v>
      </c>
      <c r="C196" s="7" t="str">
        <f>IFERROR(INDEX([3]Details!E:E,MATCH("gpt|with_guideline|25",[3]Details!H:H,0)),"N/A")</f>
        <v>RepeatUltrasoundIn1Week</v>
      </c>
      <c r="D196" s="7" t="str">
        <f>IFERROR(INDEX([3]Details!E:E,MATCH("claude|with_guideline|25",[3]Details!H:H,0)),"N/A")</f>
        <v>PARSE_ERROR</v>
      </c>
      <c r="E196" s="7" t="str">
        <f>IFERROR(INDEX([3]Details!E:E,MATCH("gemini|with_guideline|25",[3]Details!H:H,0)),"N/A")</f>
        <v>TreatAnticoagulation</v>
      </c>
      <c r="F196" s="7" t="str">
        <f>IFERROR(INDEX([3]Details!E:E,MATCH("llama|with_guideline|25",[3]Details!H:H,0)),"N/A")</f>
        <v>PARSE_ERROR</v>
      </c>
      <c r="G196" s="7">
        <f t="shared" si="4"/>
        <v>3</v>
      </c>
      <c r="H196" s="7" t="b">
        <f t="shared" si="5"/>
        <v>0</v>
      </c>
    </row>
    <row r="197" spans="1:8" x14ac:dyDescent="0.2">
      <c r="A197" s="7">
        <v>26</v>
      </c>
      <c r="B197" s="7" t="str">
        <f>IFERROR(INDEX([3]Details!D:D,MATCH("gpt|with_guideline|26",[3]Details!H:H,0)),"N/A")</f>
        <v>RepeatUltrasoundIn1Week</v>
      </c>
      <c r="C197" s="7" t="str">
        <f>IFERROR(INDEX([3]Details!E:E,MATCH("gpt|with_guideline|26",[3]Details!H:H,0)),"N/A")</f>
        <v>RepeatUltrasoundIn1Week</v>
      </c>
      <c r="D197" s="7" t="str">
        <f>IFERROR(INDEX([3]Details!E:E,MATCH("claude|with_guideline|26",[3]Details!H:H,0)),"N/A")</f>
        <v>PARSE_ERROR</v>
      </c>
      <c r="E197" s="7" t="str">
        <f>IFERROR(INDEX([3]Details!E:E,MATCH("gemini|with_guideline|26",[3]Details!H:H,0)),"N/A")</f>
        <v>TreatAnticoagulation</v>
      </c>
      <c r="F197" s="7" t="str">
        <f>IFERROR(INDEX([3]Details!E:E,MATCH("llama|with_guideline|26",[3]Details!H:H,0)),"N/A")</f>
        <v>PARSE_ERROR</v>
      </c>
      <c r="G197" s="7">
        <f t="shared" si="4"/>
        <v>3</v>
      </c>
      <c r="H197" s="7" t="b">
        <f t="shared" si="5"/>
        <v>0</v>
      </c>
    </row>
    <row r="198" spans="1:8" x14ac:dyDescent="0.2">
      <c r="A198" s="7">
        <v>27</v>
      </c>
      <c r="B198" s="7" t="str">
        <f>IFERROR(INDEX([3]Details!D:D,MATCH("gpt|with_guideline|27",[3]Details!H:H,0)),"N/A")</f>
        <v>RepeatUltrasoundIn1Week</v>
      </c>
      <c r="C198" s="7" t="str">
        <f>IFERROR(INDEX([3]Details!E:E,MATCH("gpt|with_guideline|27",[3]Details!H:H,0)),"N/A")</f>
        <v>RepeatUltrasoundIn1Week</v>
      </c>
      <c r="D198" s="7" t="str">
        <f>IFERROR(INDEX([3]Details!E:E,MATCH("claude|with_guideline|27",[3]Details!H:H,0)),"N/A")</f>
        <v>PARSE_ERROR</v>
      </c>
      <c r="E198" s="7" t="str">
        <f>IFERROR(INDEX([3]Details!E:E,MATCH("gemini|with_guideline|27",[3]Details!H:H,0)),"N/A")</f>
        <v>RepeatUltrasoundIn1Week</v>
      </c>
      <c r="F198" s="7" t="str">
        <f>IFERROR(INDEX([3]Details!E:E,MATCH("llama|with_guideline|27",[3]Details!H:H,0)),"N/A")</f>
        <v>PARSE_ERROR</v>
      </c>
      <c r="G198" s="7">
        <f t="shared" si="4"/>
        <v>2</v>
      </c>
      <c r="H198" s="7" t="b">
        <f t="shared" si="5"/>
        <v>0</v>
      </c>
    </row>
    <row r="199" spans="1:8" x14ac:dyDescent="0.2">
      <c r="A199" s="7">
        <v>28</v>
      </c>
      <c r="B199" s="7" t="str">
        <f>IFERROR(INDEX([3]Details!D:D,MATCH("gpt|with_guideline|28",[3]Details!H:H,0)),"N/A")</f>
        <v>RepeatUltrasoundIn1Week</v>
      </c>
      <c r="C199" s="7" t="str">
        <f>IFERROR(INDEX([3]Details!E:E,MATCH("gpt|with_guideline|28",[3]Details!H:H,0)),"N/A")</f>
        <v>RepeatUltrasoundIn1Week</v>
      </c>
      <c r="D199" s="7" t="str">
        <f>IFERROR(INDEX([3]Details!E:E,MATCH("claude|with_guideline|28",[3]Details!H:H,0)),"N/A")</f>
        <v>PARSE_ERROR</v>
      </c>
      <c r="E199" s="7" t="str">
        <f>IFERROR(INDEX([3]Details!E:E,MATCH("gemini|with_guideline|28",[3]Details!H:H,0)),"N/A")</f>
        <v>RepeatUltrasoundIn1Week</v>
      </c>
      <c r="F199" s="7" t="str">
        <f>IFERROR(INDEX([3]Details!E:E,MATCH("llama|with_guideline|28",[3]Details!H:H,0)),"N/A")</f>
        <v>PARSE_ERROR</v>
      </c>
      <c r="G199" s="7">
        <f t="shared" si="4"/>
        <v>2</v>
      </c>
      <c r="H199" s="7" t="b">
        <f t="shared" si="5"/>
        <v>0</v>
      </c>
    </row>
    <row r="200" spans="1:8" x14ac:dyDescent="0.2">
      <c r="A200" s="7">
        <v>29</v>
      </c>
      <c r="B200" s="7" t="str">
        <f>IFERROR(INDEX([3]Details!D:D,MATCH("gpt|with_guideline|29",[3]Details!H:H,0)),"N/A")</f>
        <v>RepeatUltrasoundIn1Week</v>
      </c>
      <c r="C200" s="7" t="str">
        <f>IFERROR(INDEX([3]Details!E:E,MATCH("gpt|with_guideline|29",[3]Details!H:H,0)),"N/A")</f>
        <v>RepeatUltrasoundIn1Week</v>
      </c>
      <c r="D200" s="7" t="str">
        <f>IFERROR(INDEX([3]Details!E:E,MATCH("claude|with_guideline|29",[3]Details!H:H,0)),"N/A")</f>
        <v>PARSE_ERROR</v>
      </c>
      <c r="E200" s="7" t="str">
        <f>IFERROR(INDEX([3]Details!E:E,MATCH("gemini|with_guideline|29",[3]Details!H:H,0)),"N/A")</f>
        <v>TreatAnticoagulation</v>
      </c>
      <c r="F200" s="7" t="str">
        <f>IFERROR(INDEX([3]Details!E:E,MATCH("llama|with_guideline|29",[3]Details!H:H,0)),"N/A")</f>
        <v>PARSE_ERROR</v>
      </c>
      <c r="G200" s="7">
        <f t="shared" si="4"/>
        <v>3</v>
      </c>
      <c r="H200" s="7" t="b">
        <f t="shared" si="5"/>
        <v>0</v>
      </c>
    </row>
    <row r="201" spans="1:8" x14ac:dyDescent="0.2">
      <c r="A201" s="7">
        <v>31</v>
      </c>
      <c r="B201" s="7" t="str">
        <f>IFERROR(INDEX([3]Details!D:D,MATCH("gpt|with_guideline|31",[3]Details!H:H,0)),"N/A")</f>
        <v>ExcludeDVT</v>
      </c>
      <c r="C201" s="7" t="str">
        <f>IFERROR(INDEX([3]Details!E:E,MATCH("gpt|with_guideline|31",[3]Details!H:H,0)),"N/A")</f>
        <v>ExcludeDVT</v>
      </c>
      <c r="D201" s="7" t="str">
        <f>IFERROR(INDEX([3]Details!E:E,MATCH("claude|with_guideline|31",[3]Details!H:H,0)),"N/A")</f>
        <v>PARSE_ERROR</v>
      </c>
      <c r="E201" s="7" t="str">
        <f>IFERROR(INDEX([3]Details!E:E,MATCH("gemini|with_guideline|31",[3]Details!H:H,0)),"N/A")</f>
        <v>TreatAnticoagulation</v>
      </c>
      <c r="F201" s="7" t="str">
        <f>IFERROR(INDEX([3]Details!E:E,MATCH("llama|with_guideline|31",[3]Details!H:H,0)),"N/A")</f>
        <v>PARSE_ERROR</v>
      </c>
      <c r="G201" s="7">
        <f t="shared" si="4"/>
        <v>3</v>
      </c>
      <c r="H201" s="7" t="b">
        <f t="shared" si="5"/>
        <v>0</v>
      </c>
    </row>
    <row r="202" spans="1:8" x14ac:dyDescent="0.2">
      <c r="A202" s="7">
        <v>32</v>
      </c>
      <c r="B202" s="7" t="str">
        <f>IFERROR(INDEX([3]Details!D:D,MATCH("gpt|with_guideline|32",[3]Details!H:H,0)),"N/A")</f>
        <v>ExcludeDVT</v>
      </c>
      <c r="C202" s="7" t="str">
        <f>IFERROR(INDEX([3]Details!E:E,MATCH("gpt|with_guideline|32",[3]Details!H:H,0)),"N/A")</f>
        <v>ExcludeDVT</v>
      </c>
      <c r="D202" s="7" t="str">
        <f>IFERROR(INDEX([3]Details!E:E,MATCH("claude|with_guideline|32",[3]Details!H:H,0)),"N/A")</f>
        <v>PARSE_ERROR</v>
      </c>
      <c r="E202" s="7" t="str">
        <f>IFERROR(INDEX([3]Details!E:E,MATCH("gemini|with_guideline|32",[3]Details!H:H,0)),"N/A")</f>
        <v>ExcludeDVT</v>
      </c>
      <c r="F202" s="7" t="str">
        <f>IFERROR(INDEX([3]Details!E:E,MATCH("llama|with_guideline|32",[3]Details!H:H,0)),"N/A")</f>
        <v>PARSE_ERROR</v>
      </c>
      <c r="G202" s="7">
        <f t="shared" si="4"/>
        <v>2</v>
      </c>
      <c r="H202" s="7" t="b">
        <f t="shared" si="5"/>
        <v>0</v>
      </c>
    </row>
    <row r="203" spans="1:8" x14ac:dyDescent="0.2">
      <c r="A203" s="7">
        <v>41</v>
      </c>
      <c r="B203" s="7" t="str">
        <f>IFERROR(INDEX([3]Details!D:D,MATCH("gpt|with_guideline|41",[3]Details!H:H,0)),"N/A")</f>
        <v>TreatAnticoagulation</v>
      </c>
      <c r="C203" s="7" t="str">
        <f>IFERROR(INDEX([3]Details!E:E,MATCH("gpt|with_guideline|41",[3]Details!H:H,0)),"N/A")</f>
        <v>TreatAnticoagulation</v>
      </c>
      <c r="D203" s="7" t="str">
        <f>IFERROR(INDEX([3]Details!E:E,MATCH("claude|with_guideline|41",[3]Details!H:H,0)),"N/A")</f>
        <v>PARSE_ERROR</v>
      </c>
      <c r="E203" s="7" t="str">
        <f>IFERROR(INDEX([3]Details!E:E,MATCH("gemini|with_guideline|41",[3]Details!H:H,0)),"N/A")</f>
        <v>TreatAnticoagulation</v>
      </c>
      <c r="F203" s="7" t="str">
        <f>IFERROR(INDEX([3]Details!E:E,MATCH("llama|with_guideline|41",[3]Details!H:H,0)),"N/A")</f>
        <v>PARSE_ERROR</v>
      </c>
      <c r="G203" s="7">
        <f t="shared" si="4"/>
        <v>2</v>
      </c>
      <c r="H203" s="7" t="b">
        <f t="shared" si="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ED88-5C78-C94E-AFD5-247AD69310CC}">
  <dimension ref="A1:N24"/>
  <sheetViews>
    <sheetView tabSelected="1" topLeftCell="A14" workbookViewId="0">
      <selection activeCell="G32" sqref="G32"/>
    </sheetView>
  </sheetViews>
  <sheetFormatPr baseColWidth="10" defaultRowHeight="15" x14ac:dyDescent="0.2"/>
  <cols>
    <col min="2" max="2" width="18.1640625" customWidth="1"/>
    <col min="3" max="3" width="21.83203125" customWidth="1"/>
    <col min="4" max="4" width="17.33203125" customWidth="1"/>
    <col min="5" max="5" width="15.5" customWidth="1"/>
    <col min="6" max="6" width="20" customWidth="1"/>
    <col min="7" max="7" width="24.1640625" customWidth="1"/>
    <col min="8" max="8" width="18.33203125" customWidth="1"/>
    <col min="9" max="9" width="17.5" customWidth="1"/>
    <col min="10" max="10" width="16.5" customWidth="1"/>
    <col min="11" max="11" width="19.6640625" customWidth="1"/>
  </cols>
  <sheetData>
    <row r="1" spans="1:6" x14ac:dyDescent="0.2">
      <c r="A1" s="10" t="s">
        <v>116</v>
      </c>
      <c r="B1" s="10" t="s">
        <v>0</v>
      </c>
      <c r="C1" s="10" t="s">
        <v>117</v>
      </c>
      <c r="D1" s="10" t="s">
        <v>118</v>
      </c>
      <c r="E1" s="10" t="s">
        <v>119</v>
      </c>
      <c r="F1" s="10" t="s">
        <v>120</v>
      </c>
    </row>
    <row r="2" spans="1:6" x14ac:dyDescent="0.2">
      <c r="A2" s="7" t="s">
        <v>121</v>
      </c>
      <c r="B2" s="7" t="s">
        <v>8</v>
      </c>
      <c r="C2" s="7">
        <v>8</v>
      </c>
      <c r="D2" s="7">
        <v>15</v>
      </c>
      <c r="E2" s="7">
        <v>15</v>
      </c>
      <c r="F2" s="7">
        <v>15</v>
      </c>
    </row>
    <row r="3" spans="1:6" x14ac:dyDescent="0.2">
      <c r="A3" s="7" t="s">
        <v>121</v>
      </c>
      <c r="B3" s="7" t="s">
        <v>28</v>
      </c>
      <c r="C3" s="7">
        <v>0</v>
      </c>
      <c r="D3" s="7">
        <v>15</v>
      </c>
      <c r="E3" s="7">
        <v>3</v>
      </c>
      <c r="F3" s="7">
        <v>15</v>
      </c>
    </row>
    <row r="4" spans="1:6" x14ac:dyDescent="0.2">
      <c r="A4" s="7" t="s">
        <v>121</v>
      </c>
      <c r="B4" s="7" t="s">
        <v>30</v>
      </c>
      <c r="C4" s="7">
        <v>5</v>
      </c>
      <c r="D4" s="7">
        <v>15</v>
      </c>
      <c r="E4" s="7">
        <v>14</v>
      </c>
      <c r="F4" s="7">
        <v>15</v>
      </c>
    </row>
    <row r="5" spans="1:6" x14ac:dyDescent="0.2">
      <c r="A5" s="7" t="s">
        <v>121</v>
      </c>
      <c r="B5" s="7" t="s">
        <v>31</v>
      </c>
      <c r="C5" s="7">
        <v>1</v>
      </c>
      <c r="D5" s="7">
        <v>15</v>
      </c>
      <c r="E5" s="7">
        <v>0</v>
      </c>
      <c r="F5" s="7">
        <v>15</v>
      </c>
    </row>
    <row r="6" spans="1:6" x14ac:dyDescent="0.2">
      <c r="A6" s="7" t="s">
        <v>122</v>
      </c>
      <c r="B6" s="7" t="s">
        <v>8</v>
      </c>
      <c r="C6" s="7">
        <v>6</v>
      </c>
      <c r="D6" s="7">
        <v>15</v>
      </c>
      <c r="E6" s="7">
        <v>15</v>
      </c>
      <c r="F6" s="7">
        <v>15</v>
      </c>
    </row>
    <row r="7" spans="1:6" x14ac:dyDescent="0.2">
      <c r="A7" s="7" t="s">
        <v>122</v>
      </c>
      <c r="B7" s="7" t="s">
        <v>28</v>
      </c>
      <c r="C7" s="7">
        <v>2</v>
      </c>
      <c r="D7" s="7">
        <v>15</v>
      </c>
      <c r="E7" s="7">
        <v>10</v>
      </c>
      <c r="F7" s="7">
        <v>15</v>
      </c>
    </row>
    <row r="8" spans="1:6" x14ac:dyDescent="0.2">
      <c r="A8" s="7" t="s">
        <v>122</v>
      </c>
      <c r="B8" s="7" t="s">
        <v>30</v>
      </c>
      <c r="C8" s="7">
        <v>6</v>
      </c>
      <c r="D8" s="7">
        <v>15</v>
      </c>
      <c r="E8" s="7">
        <v>15</v>
      </c>
      <c r="F8" s="7">
        <v>15</v>
      </c>
    </row>
    <row r="9" spans="1:6" x14ac:dyDescent="0.2">
      <c r="A9" s="7" t="s">
        <v>122</v>
      </c>
      <c r="B9" s="7" t="s">
        <v>31</v>
      </c>
      <c r="C9" s="7">
        <v>4</v>
      </c>
      <c r="D9" s="7">
        <v>15</v>
      </c>
      <c r="E9" s="7">
        <v>0</v>
      </c>
      <c r="F9" s="7">
        <v>15</v>
      </c>
    </row>
    <row r="10" spans="1:6" x14ac:dyDescent="0.2">
      <c r="A10" s="7" t="s">
        <v>123</v>
      </c>
      <c r="B10" s="7" t="s">
        <v>8</v>
      </c>
      <c r="C10" s="7">
        <v>17</v>
      </c>
      <c r="D10" s="7">
        <v>27</v>
      </c>
      <c r="E10" s="7">
        <v>21</v>
      </c>
      <c r="F10" s="7">
        <v>27</v>
      </c>
    </row>
    <row r="11" spans="1:6" x14ac:dyDescent="0.2">
      <c r="A11" s="7" t="s">
        <v>123</v>
      </c>
      <c r="B11" s="7" t="s">
        <v>28</v>
      </c>
      <c r="C11" s="7">
        <v>0</v>
      </c>
      <c r="D11" s="7">
        <v>27</v>
      </c>
      <c r="E11" s="7">
        <v>0</v>
      </c>
      <c r="F11" s="7">
        <v>27</v>
      </c>
    </row>
    <row r="12" spans="1:6" x14ac:dyDescent="0.2">
      <c r="A12" s="7" t="s">
        <v>123</v>
      </c>
      <c r="B12" s="7" t="s">
        <v>30</v>
      </c>
      <c r="C12" s="7">
        <v>15</v>
      </c>
      <c r="D12" s="7">
        <v>27</v>
      </c>
      <c r="E12" s="7">
        <v>24</v>
      </c>
      <c r="F12" s="7">
        <v>27</v>
      </c>
    </row>
    <row r="13" spans="1:6" x14ac:dyDescent="0.2">
      <c r="A13" s="7" t="s">
        <v>123</v>
      </c>
      <c r="B13" s="7" t="s">
        <v>31</v>
      </c>
      <c r="C13" s="7">
        <v>0</v>
      </c>
      <c r="D13" s="7">
        <v>27</v>
      </c>
      <c r="E13" s="7">
        <v>0</v>
      </c>
      <c r="F13" s="7">
        <v>27</v>
      </c>
    </row>
    <row r="14" spans="1:6" x14ac:dyDescent="0.2">
      <c r="A14" s="7" t="s">
        <v>124</v>
      </c>
      <c r="B14" s="7" t="s">
        <v>8</v>
      </c>
      <c r="C14" s="7">
        <v>17</v>
      </c>
      <c r="D14" s="7">
        <v>20</v>
      </c>
      <c r="E14" s="7">
        <v>19</v>
      </c>
      <c r="F14" s="7">
        <v>20</v>
      </c>
    </row>
    <row r="15" spans="1:6" x14ac:dyDescent="0.2">
      <c r="A15" s="7" t="s">
        <v>124</v>
      </c>
      <c r="B15" s="7" t="s">
        <v>28</v>
      </c>
      <c r="C15" s="7">
        <v>0</v>
      </c>
      <c r="D15" s="7">
        <v>20</v>
      </c>
      <c r="E15" s="7">
        <v>0</v>
      </c>
      <c r="F15" s="7">
        <v>20</v>
      </c>
    </row>
    <row r="16" spans="1:6" x14ac:dyDescent="0.2">
      <c r="A16" s="7" t="s">
        <v>124</v>
      </c>
      <c r="B16" s="7" t="s">
        <v>30</v>
      </c>
      <c r="C16" s="7">
        <v>16</v>
      </c>
      <c r="D16" s="7">
        <v>20</v>
      </c>
      <c r="E16" s="7">
        <v>14</v>
      </c>
      <c r="F16" s="7">
        <v>20</v>
      </c>
    </row>
    <row r="17" spans="1:14" x14ac:dyDescent="0.2">
      <c r="A17" s="7" t="s">
        <v>124</v>
      </c>
      <c r="B17" s="7" t="s">
        <v>31</v>
      </c>
      <c r="C17" s="7">
        <v>0</v>
      </c>
      <c r="D17" s="7">
        <v>20</v>
      </c>
      <c r="E17" s="7">
        <v>0</v>
      </c>
      <c r="F17" s="7">
        <v>20</v>
      </c>
    </row>
    <row r="20" spans="1:14" x14ac:dyDescent="0.2">
      <c r="A20" s="10" t="s">
        <v>0</v>
      </c>
      <c r="B20" s="10" t="s">
        <v>125</v>
      </c>
      <c r="C20" s="10" t="s">
        <v>126</v>
      </c>
      <c r="D20" s="10" t="s">
        <v>127</v>
      </c>
      <c r="E20" s="10" t="s">
        <v>128</v>
      </c>
      <c r="F20" s="10" t="s">
        <v>129</v>
      </c>
      <c r="G20" s="10" t="s">
        <v>130</v>
      </c>
      <c r="H20" s="10" t="s">
        <v>131</v>
      </c>
      <c r="I20" s="10" t="s">
        <v>132</v>
      </c>
      <c r="J20" s="10" t="s">
        <v>133</v>
      </c>
      <c r="K20" s="10" t="s">
        <v>134</v>
      </c>
      <c r="L20" s="10" t="s">
        <v>135</v>
      </c>
      <c r="M20" s="10" t="s">
        <v>136</v>
      </c>
      <c r="N20" s="10" t="s">
        <v>137</v>
      </c>
    </row>
    <row r="21" spans="1:14" x14ac:dyDescent="0.2">
      <c r="A21" s="7" t="s">
        <v>8</v>
      </c>
      <c r="B21" s="13">
        <f>C2/D2</f>
        <v>0.53333333333333333</v>
      </c>
      <c r="C21" s="13">
        <f>C6/D6</f>
        <v>0.4</v>
      </c>
      <c r="D21" s="13">
        <f>C10/D10</f>
        <v>0.62962962962962965</v>
      </c>
      <c r="E21" s="13">
        <f>C14/D14</f>
        <v>0.85</v>
      </c>
      <c r="F21" s="13">
        <f>E2/F2</f>
        <v>1</v>
      </c>
      <c r="G21" s="13">
        <f>E6/F6</f>
        <v>1</v>
      </c>
      <c r="H21" s="13">
        <f>E10/F10</f>
        <v>0.77777777777777779</v>
      </c>
      <c r="I21" s="13">
        <f>E14/F14</f>
        <v>0.95</v>
      </c>
      <c r="J21" s="16">
        <f t="shared" ref="J21:M24" si="0">F21-B21</f>
        <v>0.46666666666666667</v>
      </c>
      <c r="K21" s="16">
        <f t="shared" si="0"/>
        <v>0.6</v>
      </c>
      <c r="L21" s="16">
        <f t="shared" si="0"/>
        <v>0.14814814814814814</v>
      </c>
      <c r="M21" s="16">
        <f t="shared" si="0"/>
        <v>9.9999999999999978E-2</v>
      </c>
      <c r="N21" s="17">
        <f>AVERAGE(J21:M21)</f>
        <v>0.32870370370370372</v>
      </c>
    </row>
    <row r="22" spans="1:14" x14ac:dyDescent="0.2">
      <c r="A22" s="7" t="s">
        <v>28</v>
      </c>
      <c r="B22" s="13">
        <f t="shared" ref="B22:B24" si="1">C3/D3</f>
        <v>0</v>
      </c>
      <c r="C22" s="13">
        <f t="shared" ref="C22:C24" si="2">C7/D7</f>
        <v>0.13333333333333333</v>
      </c>
      <c r="D22" s="13">
        <f t="shared" ref="D22:D24" si="3">C11/D11</f>
        <v>0</v>
      </c>
      <c r="E22" s="13">
        <f t="shared" ref="E22:E24" si="4">C15/D15</f>
        <v>0</v>
      </c>
      <c r="F22" s="13">
        <f t="shared" ref="F22:F24" si="5">E3/F3</f>
        <v>0.2</v>
      </c>
      <c r="G22" s="13">
        <f t="shared" ref="G22:G24" si="6">E7/F7</f>
        <v>0.66666666666666663</v>
      </c>
      <c r="H22" s="13">
        <f t="shared" ref="H22:H24" si="7">E11/F11</f>
        <v>0</v>
      </c>
      <c r="I22" s="13">
        <f t="shared" ref="I22:I24" si="8">E15/F15</f>
        <v>0</v>
      </c>
      <c r="J22" s="16">
        <f t="shared" si="0"/>
        <v>0.2</v>
      </c>
      <c r="K22" s="16">
        <f t="shared" si="0"/>
        <v>0.53333333333333333</v>
      </c>
      <c r="L22" s="16">
        <f t="shared" si="0"/>
        <v>0</v>
      </c>
      <c r="M22" s="16">
        <f t="shared" si="0"/>
        <v>0</v>
      </c>
      <c r="N22" s="17">
        <f>AVERAGE(J22:M22)</f>
        <v>0.18333333333333335</v>
      </c>
    </row>
    <row r="23" spans="1:14" x14ac:dyDescent="0.2">
      <c r="A23" s="7" t="s">
        <v>30</v>
      </c>
      <c r="B23" s="13">
        <f t="shared" si="1"/>
        <v>0.33333333333333331</v>
      </c>
      <c r="C23" s="13">
        <f t="shared" si="2"/>
        <v>0.4</v>
      </c>
      <c r="D23" s="13">
        <f t="shared" si="3"/>
        <v>0.55555555555555558</v>
      </c>
      <c r="E23" s="13">
        <f t="shared" si="4"/>
        <v>0.8</v>
      </c>
      <c r="F23" s="13">
        <f t="shared" si="5"/>
        <v>0.93333333333333335</v>
      </c>
      <c r="G23" s="13">
        <f t="shared" si="6"/>
        <v>1</v>
      </c>
      <c r="H23" s="13">
        <f t="shared" si="7"/>
        <v>0.88888888888888884</v>
      </c>
      <c r="I23" s="13">
        <f t="shared" si="8"/>
        <v>0.7</v>
      </c>
      <c r="J23" s="16">
        <f t="shared" si="0"/>
        <v>0.60000000000000009</v>
      </c>
      <c r="K23" s="16">
        <f t="shared" si="0"/>
        <v>0.6</v>
      </c>
      <c r="L23" s="16">
        <f t="shared" si="0"/>
        <v>0.33333333333333326</v>
      </c>
      <c r="M23" s="16">
        <f t="shared" si="0"/>
        <v>-0.10000000000000009</v>
      </c>
      <c r="N23" s="17">
        <f>AVERAGE(J23:M23)</f>
        <v>0.35833333333333334</v>
      </c>
    </row>
    <row r="24" spans="1:14" x14ac:dyDescent="0.2">
      <c r="A24" s="7" t="s">
        <v>31</v>
      </c>
      <c r="B24" s="13">
        <f t="shared" si="1"/>
        <v>6.6666666666666666E-2</v>
      </c>
      <c r="C24" s="13">
        <f t="shared" si="2"/>
        <v>0.26666666666666666</v>
      </c>
      <c r="D24" s="13">
        <f t="shared" si="3"/>
        <v>0</v>
      </c>
      <c r="E24" s="13">
        <f t="shared" si="4"/>
        <v>0</v>
      </c>
      <c r="F24" s="13">
        <f t="shared" si="5"/>
        <v>0</v>
      </c>
      <c r="G24" s="13">
        <f t="shared" si="6"/>
        <v>0</v>
      </c>
      <c r="H24" s="13">
        <f t="shared" si="7"/>
        <v>0</v>
      </c>
      <c r="I24" s="13">
        <f t="shared" si="8"/>
        <v>0</v>
      </c>
      <c r="J24" s="16">
        <f t="shared" si="0"/>
        <v>-6.6666666666666666E-2</v>
      </c>
      <c r="K24" s="16">
        <f t="shared" si="0"/>
        <v>-0.26666666666666666</v>
      </c>
      <c r="L24" s="16">
        <f t="shared" si="0"/>
        <v>0</v>
      </c>
      <c r="M24" s="16">
        <f t="shared" si="0"/>
        <v>0</v>
      </c>
      <c r="N24" s="17">
        <f>AVERAGE(J24:M24)</f>
        <v>-8.3333333333333329E-2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asthma_eval</vt:lpstr>
      <vt:lpstr>hypertension_eval</vt:lpstr>
      <vt:lpstr>curb_eval</vt:lpstr>
      <vt:lpstr>dvt_eval</vt:lpstr>
      <vt:lpstr>final_eval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Slobodan Delic</cp:lastModifiedBy>
  <cp:revision>1</cp:revision>
  <dcterms:created xsi:type="dcterms:W3CDTF">2026-08-11T14:33:01Z</dcterms:created>
  <dcterms:modified xsi:type="dcterms:W3CDTF">2026-08-12T11:09:22Z</dcterms:modified>
  <dc:language>en-US</dc:language>
</cp:coreProperties>
</file>